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ve\Downloads\"/>
    </mc:Choice>
  </mc:AlternateContent>
  <xr:revisionPtr revIDLastSave="0" documentId="13_ncr:1_{1AF369EE-91DE-4900-93D8-54423076E942}" xr6:coauthVersionLast="43" xr6:coauthVersionMax="43" xr10:uidLastSave="{00000000-0000-0000-0000-000000000000}"/>
  <bookViews>
    <workbookView xWindow="-96" yWindow="-96" windowWidth="23232" windowHeight="12552" tabRatio="648" activeTab="2" xr2:uid="{00000000-000D-0000-FFFF-FFFF00000000}"/>
  </bookViews>
  <sheets>
    <sheet name="Activities" sheetId="1" r:id="rId1"/>
    <sheet name="Camper Activity Choices" sheetId="2" r:id="rId2"/>
    <sheet name="1st Activity" sheetId="9" r:id="rId3"/>
    <sheet name="2nd Activity" sheetId="10" r:id="rId4"/>
    <sheet name="3rd activity" sheetId="11" r:id="rId5"/>
    <sheet name="4th activity" sheetId="12" r:id="rId6"/>
    <sheet name="Counselor Requests" sheetId="8" r:id="rId7"/>
  </sheets>
  <definedNames>
    <definedName name="_xlnm._FilterDatabase" localSheetId="1" hidden="1">'Camper Activity Choices'!$A$1:$O$199</definedName>
    <definedName name="ActivityChoices">Activities!$A$2:$A$17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2" l="1"/>
  <c r="P3" i="2"/>
  <c r="P4" i="2"/>
  <c r="P5" i="2"/>
  <c r="P6" i="2"/>
  <c r="P7" i="2"/>
  <c r="P8" i="2"/>
  <c r="P9" i="2"/>
  <c r="P10" i="2"/>
  <c r="P11" i="2"/>
  <c r="P12" i="2"/>
  <c r="P13" i="2"/>
  <c r="M203" i="2" l="1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O2" i="2"/>
  <c r="Q95" i="2" l="1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2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B212" i="2" l="1"/>
  <c r="E212" i="2"/>
  <c r="G212" i="2"/>
  <c r="I212" i="2"/>
  <c r="N212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B202" i="2"/>
  <c r="E202" i="2"/>
  <c r="I202" i="2"/>
  <c r="G202" i="2"/>
  <c r="J202" i="2"/>
  <c r="K202" i="2"/>
  <c r="L202" i="2"/>
  <c r="M202" i="2"/>
  <c r="N202" i="2"/>
  <c r="B203" i="2"/>
  <c r="E203" i="2"/>
  <c r="I203" i="2"/>
  <c r="G203" i="2"/>
  <c r="N203" i="2"/>
  <c r="B204" i="2"/>
  <c r="E204" i="2"/>
  <c r="I204" i="2"/>
  <c r="G204" i="2"/>
  <c r="N204" i="2"/>
  <c r="B205" i="2"/>
  <c r="E205" i="2"/>
  <c r="I205" i="2"/>
  <c r="G205" i="2"/>
  <c r="N205" i="2"/>
  <c r="B206" i="2"/>
  <c r="E206" i="2"/>
  <c r="I206" i="2"/>
  <c r="G206" i="2"/>
  <c r="N206" i="2"/>
  <c r="B207" i="2"/>
  <c r="E207" i="2"/>
  <c r="I207" i="2"/>
  <c r="G207" i="2"/>
  <c r="N207" i="2"/>
  <c r="B208" i="2"/>
  <c r="E208" i="2"/>
  <c r="I208" i="2"/>
  <c r="G208" i="2"/>
  <c r="N208" i="2"/>
  <c r="B209" i="2"/>
  <c r="E209" i="2"/>
  <c r="I209" i="2"/>
  <c r="G209" i="2"/>
  <c r="N209" i="2"/>
  <c r="B210" i="2"/>
  <c r="E210" i="2"/>
  <c r="I210" i="2"/>
  <c r="G210" i="2"/>
  <c r="N210" i="2"/>
  <c r="B211" i="2"/>
  <c r="E211" i="2"/>
  <c r="I211" i="2"/>
  <c r="G211" i="2"/>
  <c r="N211" i="2"/>
  <c r="B213" i="2"/>
  <c r="E213" i="2"/>
  <c r="I213" i="2"/>
  <c r="G213" i="2"/>
  <c r="N213" i="2"/>
  <c r="B214" i="2"/>
  <c r="E214" i="2"/>
  <c r="I214" i="2"/>
  <c r="G214" i="2"/>
  <c r="N214" i="2"/>
  <c r="B215" i="2"/>
  <c r="E215" i="2"/>
  <c r="I215" i="2"/>
  <c r="G215" i="2"/>
  <c r="N215" i="2"/>
  <c r="B216" i="2"/>
  <c r="E216" i="2"/>
  <c r="I216" i="2"/>
  <c r="G216" i="2"/>
  <c r="N216" i="2"/>
  <c r="B217" i="2"/>
  <c r="E217" i="2"/>
  <c r="I217" i="2"/>
  <c r="G217" i="2"/>
  <c r="K217" i="2"/>
  <c r="L217" i="2"/>
  <c r="N217" i="2"/>
  <c r="B218" i="2"/>
  <c r="E218" i="2"/>
  <c r="I218" i="2"/>
  <c r="G218" i="2"/>
  <c r="J218" i="2"/>
  <c r="K218" i="2"/>
  <c r="L218" i="2"/>
  <c r="M218" i="2"/>
  <c r="N218" i="2"/>
  <c r="N219" i="2"/>
  <c r="K229" i="2"/>
  <c r="N2" i="1"/>
  <c r="O2" i="1"/>
  <c r="P2" i="1"/>
  <c r="Q2" i="1"/>
  <c r="O191" i="2"/>
  <c r="O190" i="2"/>
  <c r="O192" i="2"/>
  <c r="O197" i="2"/>
  <c r="O195" i="2"/>
  <c r="O194" i="2"/>
  <c r="O198" i="2"/>
  <c r="O193" i="2"/>
  <c r="O196" i="2"/>
  <c r="O199" i="2"/>
  <c r="O189" i="2"/>
  <c r="O37" i="2"/>
  <c r="O121" i="2"/>
  <c r="O94" i="2"/>
  <c r="O54" i="2"/>
  <c r="O40" i="2"/>
  <c r="O70" i="2"/>
  <c r="O120" i="2"/>
  <c r="O4" i="2"/>
  <c r="O17" i="2"/>
  <c r="O131" i="2"/>
  <c r="O29" i="2"/>
  <c r="O117" i="2"/>
  <c r="O164" i="2"/>
  <c r="O86" i="2"/>
  <c r="O109" i="2"/>
  <c r="O73" i="2"/>
  <c r="O136" i="2"/>
  <c r="O186" i="2"/>
  <c r="O67" i="2"/>
  <c r="O51" i="2"/>
  <c r="O12" i="2"/>
  <c r="O129" i="2"/>
  <c r="O182" i="2"/>
  <c r="O181" i="2"/>
  <c r="O55" i="2"/>
  <c r="O38" i="2"/>
  <c r="O93" i="2"/>
  <c r="O71" i="2"/>
  <c r="O23" i="2"/>
  <c r="O72" i="2"/>
  <c r="O144" i="2"/>
  <c r="O75" i="2"/>
  <c r="O116" i="2"/>
  <c r="O110" i="2"/>
  <c r="O105" i="2"/>
  <c r="O35" i="2"/>
  <c r="O76" i="2"/>
  <c r="O64" i="2"/>
  <c r="O135" i="2"/>
  <c r="O106" i="2"/>
  <c r="O62" i="2"/>
  <c r="O27" i="2"/>
  <c r="O149" i="2"/>
  <c r="O108" i="2"/>
  <c r="O126" i="2"/>
  <c r="O42" i="2"/>
  <c r="O63" i="2"/>
  <c r="O61" i="2"/>
  <c r="O80" i="2"/>
  <c r="O148" i="2"/>
  <c r="O92" i="2"/>
  <c r="O115" i="2"/>
  <c r="O13" i="2"/>
  <c r="O102" i="2"/>
  <c r="O6" i="2"/>
  <c r="O88" i="2"/>
  <c r="O59" i="2"/>
  <c r="O100" i="2"/>
  <c r="O99" i="2"/>
  <c r="O128" i="2"/>
  <c r="O134" i="2"/>
  <c r="O58" i="2"/>
  <c r="O188" i="2"/>
  <c r="O132" i="2"/>
  <c r="O48" i="2"/>
  <c r="O155" i="2"/>
  <c r="O34" i="2"/>
  <c r="O187" i="2"/>
  <c r="O114" i="2"/>
  <c r="O159" i="2"/>
  <c r="O69" i="2"/>
  <c r="O142" i="2"/>
  <c r="O133" i="2"/>
  <c r="O154" i="2"/>
  <c r="O95" i="2"/>
  <c r="O122" i="2"/>
  <c r="O53" i="2"/>
  <c r="O137" i="2"/>
  <c r="O163" i="2"/>
  <c r="O44" i="2"/>
  <c r="O138" i="2"/>
  <c r="O127" i="2"/>
  <c r="O46" i="2"/>
  <c r="O141" i="2"/>
  <c r="O9" i="2"/>
  <c r="O74" i="2"/>
  <c r="O150" i="2"/>
  <c r="O20" i="2"/>
  <c r="O65" i="2"/>
  <c r="O56" i="2"/>
  <c r="O143" i="2"/>
  <c r="O16" i="2"/>
  <c r="O98" i="2"/>
  <c r="O3" i="2"/>
  <c r="O158" i="2"/>
  <c r="O147" i="2"/>
  <c r="O124" i="2"/>
  <c r="O103" i="2"/>
  <c r="O185" i="2"/>
  <c r="O36" i="2"/>
  <c r="O87" i="2"/>
  <c r="O32" i="2"/>
  <c r="O113" i="2"/>
  <c r="O8" i="2"/>
  <c r="O21" i="2"/>
  <c r="O5" i="2"/>
  <c r="O24" i="2"/>
  <c r="O139" i="2"/>
  <c r="O156" i="2"/>
  <c r="O184" i="2"/>
  <c r="O112" i="2"/>
  <c r="O130" i="2"/>
  <c r="O11" i="2"/>
  <c r="O123" i="2"/>
  <c r="O85" i="2"/>
  <c r="O26" i="2"/>
  <c r="O151" i="2"/>
  <c r="O49" i="2"/>
  <c r="O118" i="2"/>
  <c r="O160" i="2"/>
  <c r="O68" i="2"/>
  <c r="O84" i="2"/>
  <c r="O140" i="2"/>
  <c r="O39" i="2"/>
  <c r="O104" i="2"/>
  <c r="O19" i="2"/>
  <c r="O89" i="2"/>
  <c r="O50" i="2"/>
  <c r="O33" i="2"/>
  <c r="O18" i="2"/>
  <c r="O41" i="2"/>
  <c r="O57" i="2"/>
  <c r="O28" i="2"/>
  <c r="O25" i="2"/>
  <c r="O10" i="2"/>
  <c r="O111" i="2"/>
  <c r="O82" i="2"/>
  <c r="O91" i="2"/>
  <c r="O31" i="2"/>
  <c r="O15" i="2"/>
  <c r="O107" i="2"/>
  <c r="O60" i="2"/>
  <c r="O162" i="2"/>
  <c r="O77" i="2"/>
  <c r="O101" i="2"/>
  <c r="O97" i="2"/>
  <c r="O83" i="2"/>
  <c r="O81" i="2"/>
  <c r="O66" i="2"/>
  <c r="O96" i="2"/>
  <c r="O157" i="2"/>
  <c r="O79" i="2"/>
  <c r="O125" i="2"/>
  <c r="O43" i="2"/>
  <c r="O47" i="2"/>
  <c r="O14" i="2"/>
  <c r="O161" i="2"/>
  <c r="O22" i="2"/>
  <c r="O30" i="2"/>
  <c r="O145" i="2"/>
  <c r="O45" i="2"/>
  <c r="O52" i="2"/>
  <c r="O119" i="2"/>
  <c r="O183" i="2"/>
  <c r="O7" i="2"/>
  <c r="O146" i="2"/>
  <c r="O78" i="2"/>
  <c r="O180" i="2"/>
  <c r="O90" i="2"/>
  <c r="O152" i="2"/>
  <c r="C212" i="2" l="1"/>
  <c r="C215" i="2"/>
  <c r="C203" i="2"/>
  <c r="C208" i="2"/>
  <c r="C206" i="2"/>
  <c r="C202" i="2"/>
  <c r="C211" i="2"/>
  <c r="C204" i="2"/>
  <c r="C205" i="2"/>
  <c r="C216" i="2"/>
  <c r="C207" i="2"/>
  <c r="C218" i="2"/>
  <c r="M220" i="2"/>
  <c r="C213" i="2"/>
  <c r="C210" i="2"/>
  <c r="J220" i="2"/>
  <c r="K220" i="2"/>
  <c r="C217" i="2"/>
  <c r="C214" i="2"/>
  <c r="C209" i="2"/>
  <c r="L220" i="2"/>
  <c r="J222" i="2"/>
  <c r="J223" i="2"/>
  <c r="J224" i="2"/>
  <c r="J225" i="2"/>
</calcChain>
</file>

<file path=xl/sharedStrings.xml><?xml version="1.0" encoding="utf-8"?>
<sst xmlns="http://schemas.openxmlformats.org/spreadsheetml/2006/main" count="237" uniqueCount="61">
  <si>
    <t>Activities List</t>
  </si>
  <si>
    <t>Maximum Campers per Activity</t>
  </si>
  <si>
    <t>1st Activity</t>
  </si>
  <si>
    <t>2nd Activity</t>
  </si>
  <si>
    <t>3rd Activity</t>
  </si>
  <si>
    <t>4th Activity</t>
  </si>
  <si>
    <t>art</t>
  </si>
  <si>
    <t>Yes</t>
  </si>
  <si>
    <t>Spots</t>
  </si>
  <si>
    <t>arch</t>
  </si>
  <si>
    <t>No</t>
  </si>
  <si>
    <t>ath</t>
  </si>
  <si>
    <t xml:space="preserve">Number </t>
  </si>
  <si>
    <t>philo</t>
  </si>
  <si>
    <t xml:space="preserve">of </t>
  </si>
  <si>
    <t>boat</t>
  </si>
  <si>
    <t>Campers</t>
  </si>
  <si>
    <t>dance</t>
  </si>
  <si>
    <t>drama</t>
  </si>
  <si>
    <t>fish</t>
  </si>
  <si>
    <t>horse</t>
  </si>
  <si>
    <t>mbs</t>
  </si>
  <si>
    <t>music</t>
  </si>
  <si>
    <t>ropes</t>
  </si>
  <si>
    <t>sail</t>
  </si>
  <si>
    <t>swim</t>
  </si>
  <si>
    <t>wildx</t>
  </si>
  <si>
    <t>tennis</t>
  </si>
  <si>
    <t>Cabin</t>
  </si>
  <si>
    <t>Last</t>
  </si>
  <si>
    <t>First</t>
  </si>
  <si>
    <t>Choice 1</t>
  </si>
  <si>
    <t>Choice 2</t>
  </si>
  <si>
    <t>Choice 3</t>
  </si>
  <si>
    <t>Choice 4</t>
  </si>
  <si>
    <t>Choice 5</t>
  </si>
  <si>
    <t>Choice 6</t>
  </si>
  <si>
    <t>Activity 1</t>
  </si>
  <si>
    <t>Activity 2</t>
  </si>
  <si>
    <t>Activity 3</t>
  </si>
  <si>
    <t>Activity 4</t>
  </si>
  <si>
    <t>Sched. In</t>
  </si>
  <si>
    <t>Duplicates?</t>
  </si>
  <si>
    <t>Average campers in total</t>
  </si>
  <si>
    <t>Counts 1-2</t>
  </si>
  <si>
    <t>Max Campers</t>
  </si>
  <si>
    <t>Counts 3-6</t>
  </si>
  <si>
    <t>Totals</t>
  </si>
  <si>
    <t>Number of Activities</t>
  </si>
  <si>
    <t>Campers in</t>
  </si>
  <si>
    <t>1 Activity</t>
  </si>
  <si>
    <t>2 Activities</t>
  </si>
  <si>
    <t>3 Activities</t>
  </si>
  <si>
    <t>4 Activities</t>
  </si>
  <si>
    <t>Variable?</t>
  </si>
  <si>
    <t>Choices = 6</t>
  </si>
  <si>
    <t>photo</t>
  </si>
  <si>
    <t>sail emph</t>
  </si>
  <si>
    <t>Jane</t>
  </si>
  <si>
    <t>Doe</t>
  </si>
  <si>
    <t>Cub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</si>
</sst>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9"/>
      <color indexed="63"/>
      <name val="Arial"/>
      <family val="2"/>
    </font>
    <font>
      <sz val="9"/>
      <color indexed="63"/>
      <name val="Arial"/>
      <family val="2"/>
    </font>
    <font>
      <sz val="11"/>
      <color rgb="FF00610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5"/>
        <bgColor indexed="29"/>
      </patternFill>
    </fill>
    <fill>
      <patternFill patternType="solid">
        <fgColor indexed="43"/>
        <bgColor indexed="26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47"/>
      </patternFill>
    </fill>
    <fill>
      <patternFill patternType="solid">
        <fgColor indexed="9"/>
        <bgColor indexed="9"/>
      </patternFill>
    </fill>
    <fill>
      <patternFill patternType="solid">
        <fgColor rgb="FFC6EFCE"/>
      </patternFill>
    </fill>
    <fill>
      <patternFill patternType="solid">
        <fgColor rgb="FFCC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BFC"/>
        <bgColor indexed="64"/>
      </patternFill>
    </fill>
  </fills>
  <borders count="26">
    <border>
      <left/>
      <right/>
      <top/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thin">
        <color indexed="64"/>
      </top>
      <bottom style="medium">
        <color rgb="FFCCCCCC"/>
      </bottom>
      <diagonal/>
    </border>
  </borders>
  <cellStyleXfs count="3">
    <xf numFmtId="0" fontId="0" fillId="0" borderId="0">
      <alignment vertical="center"/>
    </xf>
    <xf numFmtId="43" fontId="1" fillId="0" borderId="0" applyFill="0" applyBorder="0" applyAlignment="0" applyProtection="0"/>
    <xf numFmtId="0" fontId="9" fillId="10" borderId="0" applyNumberFormat="0" applyBorder="0" applyAlignment="0" applyProtection="0"/>
  </cellStyleXfs>
  <cellXfs count="71">
    <xf numFmtId="0" fontId="0" fillId="0" borderId="0" xfId="0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0" fillId="2" borderId="0" xfId="0" applyNumberFormat="1" applyFill="1" applyBorder="1" applyAlignment="1" applyProtection="1">
      <alignment wrapText="1"/>
    </xf>
    <xf numFmtId="0" fontId="0" fillId="3" borderId="0" xfId="0" applyNumberFormat="1" applyFill="1" applyBorder="1" applyAlignment="1" applyProtection="1">
      <alignment wrapText="1"/>
    </xf>
    <xf numFmtId="0" fontId="0" fillId="4" borderId="0" xfId="0" applyNumberFormat="1" applyFill="1" applyBorder="1" applyAlignment="1" applyProtection="1">
      <alignment wrapText="1"/>
    </xf>
    <xf numFmtId="0" fontId="0" fillId="5" borderId="1" xfId="0" applyNumberFormat="1" applyFill="1" applyBorder="1" applyAlignment="1" applyProtection="1">
      <alignment wrapText="1"/>
    </xf>
    <xf numFmtId="0" fontId="4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ill="1" applyBorder="1" applyAlignment="1" applyProtection="1">
      <alignment wrapText="1"/>
    </xf>
    <xf numFmtId="0" fontId="5" fillId="0" borderId="0" xfId="0" applyNumberFormat="1" applyFont="1" applyFill="1" applyBorder="1" applyAlignment="1" applyProtection="1">
      <alignment wrapText="1"/>
    </xf>
    <xf numFmtId="0" fontId="0" fillId="0" borderId="0" xfId="0" applyFo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0" fillId="6" borderId="0" xfId="0" applyNumberFormat="1" applyFont="1" applyFill="1" applyBorder="1" applyAlignment="1" applyProtection="1">
      <alignment wrapText="1"/>
    </xf>
    <xf numFmtId="0" fontId="2" fillId="7" borderId="2" xfId="0" applyNumberFormat="1" applyFont="1" applyFill="1" applyBorder="1" applyAlignment="1" applyProtection="1">
      <alignment wrapText="1"/>
    </xf>
    <xf numFmtId="0" fontId="0" fillId="6" borderId="3" xfId="0" applyNumberFormat="1" applyFill="1" applyBorder="1" applyAlignment="1" applyProtection="1">
      <alignment wrapText="1"/>
    </xf>
    <xf numFmtId="0" fontId="3" fillId="0" borderId="4" xfId="0" applyNumberFormat="1" applyFont="1" applyFill="1" applyBorder="1" applyAlignment="1" applyProtection="1">
      <alignment horizontal="left"/>
    </xf>
    <xf numFmtId="0" fontId="3" fillId="2" borderId="5" xfId="0" applyNumberFormat="1" applyFont="1" applyFill="1" applyBorder="1" applyAlignment="1" applyProtection="1">
      <alignment horizontal="left"/>
    </xf>
    <xf numFmtId="0" fontId="3" fillId="3" borderId="5" xfId="0" applyNumberFormat="1" applyFont="1" applyFill="1" applyBorder="1" applyAlignment="1" applyProtection="1">
      <alignment horizontal="left"/>
    </xf>
    <xf numFmtId="0" fontId="3" fillId="4" borderId="5" xfId="0" applyNumberFormat="1" applyFont="1" applyFill="1" applyBorder="1" applyAlignment="1" applyProtection="1">
      <alignment horizontal="left"/>
    </xf>
    <xf numFmtId="0" fontId="3" fillId="5" borderId="6" xfId="0" applyNumberFormat="1" applyFont="1" applyFill="1" applyBorder="1" applyAlignment="1" applyProtection="1">
      <alignment horizontal="left"/>
    </xf>
    <xf numFmtId="0" fontId="0" fillId="6" borderId="0" xfId="0" applyNumberFormat="1" applyFill="1" applyBorder="1" applyAlignment="1" applyProtection="1">
      <alignment wrapText="1"/>
    </xf>
    <xf numFmtId="0" fontId="0" fillId="2" borderId="0" xfId="0" applyNumberFormat="1" applyFont="1" applyFill="1" applyBorder="1" applyAlignment="1" applyProtection="1">
      <alignment wrapText="1"/>
    </xf>
    <xf numFmtId="0" fontId="0" fillId="5" borderId="1" xfId="0" applyNumberFormat="1" applyFont="1" applyFill="1" applyBorder="1" applyAlignment="1" applyProtection="1">
      <alignment wrapText="1"/>
    </xf>
    <xf numFmtId="0" fontId="0" fillId="3" borderId="0" xfId="0" applyNumberFormat="1" applyFont="1" applyFill="1" applyBorder="1" applyAlignment="1" applyProtection="1">
      <alignment wrapText="1"/>
    </xf>
    <xf numFmtId="0" fontId="0" fillId="4" borderId="0" xfId="0" applyNumberFormat="1" applyFont="1" applyFill="1" applyBorder="1" applyAlignment="1" applyProtection="1">
      <alignment wrapText="1"/>
    </xf>
    <xf numFmtId="0" fontId="10" fillId="0" borderId="19" xfId="0" applyFont="1" applyBorder="1" applyAlignment="1">
      <alignment horizontal="left" wrapText="1"/>
    </xf>
    <xf numFmtId="0" fontId="0" fillId="0" borderId="19" xfId="0" applyBorder="1" applyAlignment="1"/>
    <xf numFmtId="0" fontId="10" fillId="11" borderId="19" xfId="0" applyFont="1" applyFill="1" applyBorder="1" applyAlignment="1">
      <alignment horizontal="left" wrapText="1"/>
    </xf>
    <xf numFmtId="0" fontId="10" fillId="11" borderId="19" xfId="0" applyFont="1" applyFill="1" applyBorder="1" applyAlignment="1">
      <alignment horizontal="left"/>
    </xf>
    <xf numFmtId="0" fontId="10" fillId="12" borderId="19" xfId="0" applyFont="1" applyFill="1" applyBorder="1" applyAlignment="1">
      <alignment horizontal="left" wrapText="1"/>
    </xf>
    <xf numFmtId="0" fontId="10" fillId="12" borderId="19" xfId="0" applyFont="1" applyFill="1" applyBorder="1" applyAlignment="1">
      <alignment horizontal="left"/>
    </xf>
    <xf numFmtId="0" fontId="2" fillId="0" borderId="0" xfId="0" applyFont="1">
      <alignment vertical="center"/>
    </xf>
    <xf numFmtId="49" fontId="7" fillId="9" borderId="7" xfId="0" applyNumberFormat="1" applyFont="1" applyFill="1" applyBorder="1" applyAlignment="1">
      <alignment horizontal="left"/>
    </xf>
    <xf numFmtId="49" fontId="8" fillId="9" borderId="8" xfId="0" applyNumberFormat="1" applyFont="1" applyFill="1" applyBorder="1" applyAlignment="1">
      <alignment horizontal="left"/>
    </xf>
    <xf numFmtId="49" fontId="8" fillId="0" borderId="8" xfId="0" applyNumberFormat="1" applyFont="1" applyFill="1" applyBorder="1" applyAlignment="1">
      <alignment horizontal="left"/>
    </xf>
    <xf numFmtId="49" fontId="7" fillId="9" borderId="8" xfId="0" applyNumberFormat="1" applyFont="1" applyFill="1" applyBorder="1" applyAlignment="1">
      <alignment horizontal="left"/>
    </xf>
    <xf numFmtId="0" fontId="11" fillId="0" borderId="19" xfId="0" applyFont="1" applyBorder="1" applyAlignment="1">
      <alignment horizontal="left" wrapText="1"/>
    </xf>
    <xf numFmtId="0" fontId="0" fillId="0" borderId="9" xfId="0" applyBorder="1">
      <alignment vertical="center"/>
    </xf>
    <xf numFmtId="0" fontId="0" fillId="0" borderId="10" xfId="0" applyNumberFormat="1" applyFont="1" applyFill="1" applyBorder="1" applyAlignment="1" applyProtection="1">
      <alignment horizontal="right"/>
    </xf>
    <xf numFmtId="0" fontId="0" fillId="0" borderId="10" xfId="0" applyNumberFormat="1" applyFont="1" applyFill="1" applyBorder="1" applyAlignment="1" applyProtection="1">
      <alignment wrapText="1"/>
    </xf>
    <xf numFmtId="0" fontId="0" fillId="0" borderId="11" xfId="0" applyNumberFormat="1" applyFont="1" applyFill="1" applyBorder="1" applyAlignment="1" applyProtection="1">
      <alignment wrapText="1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9" fillId="10" borderId="17" xfId="2" applyBorder="1" applyAlignment="1">
      <alignment vertical="center"/>
    </xf>
    <xf numFmtId="0" fontId="9" fillId="10" borderId="18" xfId="2" applyBorder="1" applyAlignment="1">
      <alignment vertical="center"/>
    </xf>
    <xf numFmtId="0" fontId="0" fillId="0" borderId="20" xfId="0" applyBorder="1" applyAlignment="1">
      <alignment wrapText="1"/>
    </xf>
    <xf numFmtId="0" fontId="0" fillId="13" borderId="20" xfId="0" applyFill="1" applyBorder="1" applyAlignment="1">
      <alignment wrapText="1"/>
    </xf>
    <xf numFmtId="0" fontId="4" fillId="0" borderId="0" xfId="0" applyNumberFormat="1" applyFont="1" applyFill="1" applyBorder="1" applyAlignment="1" applyProtection="1">
      <alignment horizontal="right"/>
    </xf>
    <xf numFmtId="164" fontId="1" fillId="0" borderId="0" xfId="1" applyNumberFormat="1" applyAlignment="1">
      <alignment horizontal="right" vertical="center"/>
    </xf>
    <xf numFmtId="0" fontId="0" fillId="14" borderId="20" xfId="0" applyFill="1" applyBorder="1" applyAlignment="1">
      <alignment wrapText="1"/>
    </xf>
    <xf numFmtId="0" fontId="10" fillId="14" borderId="20" xfId="0" applyFont="1" applyFill="1" applyBorder="1" applyAlignment="1">
      <alignment wrapText="1"/>
    </xf>
    <xf numFmtId="0" fontId="0" fillId="11" borderId="21" xfId="0" applyFill="1" applyBorder="1" applyAlignment="1">
      <alignment wrapText="1"/>
    </xf>
    <xf numFmtId="0" fontId="10" fillId="11" borderId="21" xfId="0" applyFont="1" applyFill="1" applyBorder="1" applyAlignment="1">
      <alignment wrapText="1"/>
    </xf>
    <xf numFmtId="0" fontId="0" fillId="12" borderId="20" xfId="0" applyFill="1" applyBorder="1" applyAlignment="1">
      <alignment wrapText="1"/>
    </xf>
    <xf numFmtId="0" fontId="10" fillId="12" borderId="20" xfId="0" applyFont="1" applyFill="1" applyBorder="1" applyAlignment="1">
      <alignment wrapText="1"/>
    </xf>
    <xf numFmtId="0" fontId="0" fillId="15" borderId="20" xfId="0" applyFill="1" applyBorder="1" applyAlignment="1">
      <alignment wrapText="1"/>
    </xf>
    <xf numFmtId="0" fontId="10" fillId="15" borderId="20" xfId="0" applyFont="1" applyFill="1" applyBorder="1" applyAlignment="1">
      <alignment wrapText="1"/>
    </xf>
    <xf numFmtId="0" fontId="10" fillId="0" borderId="20" xfId="0" applyFont="1" applyBorder="1" applyAlignment="1">
      <alignment wrapText="1"/>
    </xf>
    <xf numFmtId="49" fontId="8" fillId="9" borderId="0" xfId="0" applyNumberFormat="1" applyFont="1" applyFill="1" applyBorder="1" applyAlignment="1">
      <alignment horizontal="left"/>
    </xf>
    <xf numFmtId="0" fontId="0" fillId="0" borderId="0" xfId="0" applyNumberFormat="1" applyFill="1" applyBorder="1" applyAlignment="1" applyProtection="1">
      <alignment horizontal="center" wrapText="1"/>
    </xf>
    <xf numFmtId="0" fontId="3" fillId="0" borderId="0" xfId="0" applyNumberFormat="1" applyFont="1" applyFill="1" applyBorder="1" applyAlignment="1" applyProtection="1">
      <alignment horizontal="left"/>
    </xf>
    <xf numFmtId="10" fontId="3" fillId="4" borderId="22" xfId="0" applyNumberFormat="1" applyFont="1" applyFill="1" applyBorder="1" applyAlignment="1" applyProtection="1">
      <alignment horizontal="left"/>
    </xf>
    <xf numFmtId="0" fontId="3" fillId="4" borderId="23" xfId="0" applyNumberFormat="1" applyFont="1" applyFill="1" applyBorder="1" applyAlignment="1" applyProtection="1">
      <alignment horizontal="left"/>
    </xf>
    <xf numFmtId="0" fontId="3" fillId="8" borderId="3" xfId="0" applyNumberFormat="1" applyFont="1" applyFill="1" applyBorder="1" applyAlignment="1" applyProtection="1">
      <alignment horizontal="left"/>
    </xf>
    <xf numFmtId="0" fontId="10" fillId="14" borderId="24" xfId="0" applyFont="1" applyFill="1" applyBorder="1" applyAlignment="1">
      <alignment wrapText="1"/>
    </xf>
    <xf numFmtId="0" fontId="10" fillId="11" borderId="25" xfId="0" applyFont="1" applyFill="1" applyBorder="1" applyAlignment="1">
      <alignment wrapText="1"/>
    </xf>
    <xf numFmtId="0" fontId="10" fillId="12" borderId="24" xfId="0" applyFont="1" applyFill="1" applyBorder="1" applyAlignment="1">
      <alignment wrapText="1"/>
    </xf>
  </cellXfs>
  <cellStyles count="3">
    <cellStyle name="Comma" xfId="1" builtinId="3"/>
    <cellStyle name="Good" xfId="2" builtinId="26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D58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zoomScaleNormal="100" workbookViewId="0">
      <selection activeCell="F23" sqref="F23"/>
    </sheetView>
  </sheetViews>
  <sheetFormatPr defaultColWidth="11.5546875" defaultRowHeight="12.3" x14ac:dyDescent="0.4"/>
  <cols>
    <col min="2" max="2" width="14" customWidth="1" collapsed="1"/>
    <col min="4" max="5" width="13.44140625" customWidth="1" collapsed="1"/>
    <col min="6" max="6" width="13.27734375" customWidth="1" collapsed="1"/>
  </cols>
  <sheetData>
    <row r="1" spans="1:17" ht="44.25" customHeight="1" x14ac:dyDescent="0.4">
      <c r="A1" s="13" t="s">
        <v>0</v>
      </c>
      <c r="B1" s="1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54</v>
      </c>
      <c r="M1" s="41"/>
      <c r="N1" s="47">
        <v>1</v>
      </c>
      <c r="O1" s="47">
        <v>2</v>
      </c>
      <c r="P1" s="47">
        <v>3</v>
      </c>
      <c r="Q1" s="48">
        <v>4</v>
      </c>
    </row>
    <row r="2" spans="1:17" x14ac:dyDescent="0.4">
      <c r="A2" s="14" t="s">
        <v>6</v>
      </c>
      <c r="B2">
        <v>25</v>
      </c>
      <c r="C2" t="s">
        <v>7</v>
      </c>
      <c r="D2" t="s">
        <v>7</v>
      </c>
      <c r="E2" t="s">
        <v>7</v>
      </c>
      <c r="F2" t="s">
        <v>7</v>
      </c>
      <c r="G2" t="s">
        <v>10</v>
      </c>
      <c r="M2" s="42" t="s">
        <v>8</v>
      </c>
      <c r="N2" s="43">
        <f>SUMIF(C2:C17,"Yes",$B2:$B17)</f>
        <v>187</v>
      </c>
      <c r="O2" s="43">
        <f>SUMIF(D2:D17,"Yes",$B2:$B17)</f>
        <v>193</v>
      </c>
      <c r="P2" s="43">
        <f>SUMIF(E2:E17,"Yes",$B2:$B17)</f>
        <v>173</v>
      </c>
      <c r="Q2" s="43">
        <f>SUMIF(F2:F17,"Yes",$B2:$B17)</f>
        <v>184</v>
      </c>
    </row>
    <row r="3" spans="1:17" ht="12.6" thickBot="1" x14ac:dyDescent="0.45">
      <c r="A3" s="12" t="s">
        <v>9</v>
      </c>
      <c r="B3">
        <v>15</v>
      </c>
      <c r="C3" t="s">
        <v>7</v>
      </c>
      <c r="D3" t="s">
        <v>7</v>
      </c>
      <c r="E3" t="s">
        <v>7</v>
      </c>
      <c r="F3" t="s">
        <v>7</v>
      </c>
      <c r="G3" t="s">
        <v>10</v>
      </c>
      <c r="M3" s="44"/>
      <c r="N3" s="45"/>
      <c r="O3" s="45"/>
      <c r="P3" s="45"/>
      <c r="Q3" s="46"/>
    </row>
    <row r="4" spans="1:17" x14ac:dyDescent="0.4">
      <c r="A4" s="12" t="s">
        <v>11</v>
      </c>
      <c r="B4">
        <v>30</v>
      </c>
      <c r="C4" t="s">
        <v>7</v>
      </c>
      <c r="D4" t="s">
        <v>7</v>
      </c>
      <c r="E4" t="s">
        <v>10</v>
      </c>
      <c r="F4" t="s">
        <v>10</v>
      </c>
      <c r="G4" t="s">
        <v>7</v>
      </c>
      <c r="M4" t="s">
        <v>12</v>
      </c>
      <c r="N4">
        <v>168</v>
      </c>
    </row>
    <row r="5" spans="1:17" x14ac:dyDescent="0.4">
      <c r="A5" s="12" t="s">
        <v>13</v>
      </c>
      <c r="B5">
        <v>16</v>
      </c>
      <c r="C5" t="s">
        <v>10</v>
      </c>
      <c r="D5" t="s">
        <v>10</v>
      </c>
      <c r="E5" t="s">
        <v>10</v>
      </c>
      <c r="F5" t="s">
        <v>7</v>
      </c>
      <c r="G5" t="s">
        <v>7</v>
      </c>
      <c r="M5" t="s">
        <v>14</v>
      </c>
    </row>
    <row r="6" spans="1:17" ht="13.5" customHeight="1" x14ac:dyDescent="0.4">
      <c r="A6" s="20" t="s">
        <v>15</v>
      </c>
      <c r="B6">
        <v>16</v>
      </c>
      <c r="C6" t="s">
        <v>7</v>
      </c>
      <c r="D6" t="s">
        <v>7</v>
      </c>
      <c r="E6" t="s">
        <v>7</v>
      </c>
      <c r="F6" t="s">
        <v>7</v>
      </c>
      <c r="G6" t="s">
        <v>10</v>
      </c>
      <c r="M6" t="s">
        <v>16</v>
      </c>
    </row>
    <row r="7" spans="1:17" x14ac:dyDescent="0.4">
      <c r="A7" s="20" t="s">
        <v>17</v>
      </c>
      <c r="B7">
        <v>15</v>
      </c>
      <c r="C7" t="s">
        <v>10</v>
      </c>
      <c r="D7" t="s">
        <v>10</v>
      </c>
      <c r="E7" t="s">
        <v>10</v>
      </c>
      <c r="F7" t="s">
        <v>7</v>
      </c>
      <c r="G7" t="s">
        <v>7</v>
      </c>
    </row>
    <row r="8" spans="1:17" x14ac:dyDescent="0.4">
      <c r="A8" s="12" t="s">
        <v>18</v>
      </c>
      <c r="B8">
        <v>25</v>
      </c>
      <c r="C8" t="s">
        <v>10</v>
      </c>
      <c r="D8" t="s">
        <v>7</v>
      </c>
      <c r="E8" t="s">
        <v>7</v>
      </c>
      <c r="F8" t="s">
        <v>10</v>
      </c>
      <c r="G8" t="s">
        <v>7</v>
      </c>
    </row>
    <row r="9" spans="1:17" x14ac:dyDescent="0.4">
      <c r="A9" s="20" t="s">
        <v>19</v>
      </c>
      <c r="B9">
        <v>10</v>
      </c>
      <c r="C9" t="s">
        <v>7</v>
      </c>
      <c r="D9" t="s">
        <v>10</v>
      </c>
      <c r="E9" t="s">
        <v>7</v>
      </c>
      <c r="F9" t="s">
        <v>10</v>
      </c>
      <c r="G9" t="s">
        <v>7</v>
      </c>
    </row>
    <row r="10" spans="1:17" x14ac:dyDescent="0.4">
      <c r="A10" s="20" t="s">
        <v>20</v>
      </c>
      <c r="B10">
        <v>17</v>
      </c>
      <c r="C10" t="s">
        <v>7</v>
      </c>
      <c r="D10" t="s">
        <v>7</v>
      </c>
      <c r="E10" t="s">
        <v>7</v>
      </c>
      <c r="F10" t="s">
        <v>7</v>
      </c>
      <c r="G10" t="s">
        <v>10</v>
      </c>
    </row>
    <row r="11" spans="1:17" x14ac:dyDescent="0.4">
      <c r="A11" s="12" t="s">
        <v>21</v>
      </c>
      <c r="B11">
        <v>15</v>
      </c>
      <c r="C11" t="s">
        <v>7</v>
      </c>
      <c r="D11" t="s">
        <v>10</v>
      </c>
      <c r="E11" t="s">
        <v>7</v>
      </c>
      <c r="F11" t="s">
        <v>7</v>
      </c>
      <c r="G11" t="s">
        <v>10</v>
      </c>
    </row>
    <row r="12" spans="1:17" x14ac:dyDescent="0.4">
      <c r="A12" s="12" t="s">
        <v>22</v>
      </c>
      <c r="B12">
        <v>12</v>
      </c>
      <c r="C12" t="s">
        <v>7</v>
      </c>
      <c r="D12" t="s">
        <v>10</v>
      </c>
      <c r="E12" t="s">
        <v>10</v>
      </c>
      <c r="F12" t="s">
        <v>7</v>
      </c>
      <c r="G12" t="s">
        <v>7</v>
      </c>
    </row>
    <row r="13" spans="1:17" x14ac:dyDescent="0.4">
      <c r="A13" s="12" t="s">
        <v>23</v>
      </c>
      <c r="B13">
        <v>13</v>
      </c>
      <c r="C13" t="s">
        <v>7</v>
      </c>
      <c r="D13" t="s">
        <v>7</v>
      </c>
      <c r="E13" t="s">
        <v>7</v>
      </c>
      <c r="F13" t="s">
        <v>10</v>
      </c>
      <c r="G13" t="s">
        <v>10</v>
      </c>
    </row>
    <row r="14" spans="1:17" x14ac:dyDescent="0.4">
      <c r="A14" s="20" t="s">
        <v>24</v>
      </c>
      <c r="B14">
        <v>16</v>
      </c>
      <c r="C14" t="s">
        <v>7</v>
      </c>
      <c r="D14" t="s">
        <v>7</v>
      </c>
      <c r="E14" t="s">
        <v>10</v>
      </c>
      <c r="F14" t="s">
        <v>10</v>
      </c>
      <c r="G14" t="s">
        <v>10</v>
      </c>
    </row>
    <row r="15" spans="1:17" x14ac:dyDescent="0.4">
      <c r="A15" s="20" t="s">
        <v>25</v>
      </c>
      <c r="B15">
        <v>20</v>
      </c>
      <c r="C15" t="s">
        <v>10</v>
      </c>
      <c r="D15" t="s">
        <v>7</v>
      </c>
      <c r="E15" t="s">
        <v>7</v>
      </c>
      <c r="F15" t="s">
        <v>7</v>
      </c>
      <c r="G15" t="s">
        <v>10</v>
      </c>
    </row>
    <row r="16" spans="1:17" x14ac:dyDescent="0.4">
      <c r="A16" s="12" t="s">
        <v>26</v>
      </c>
      <c r="B16">
        <v>20</v>
      </c>
      <c r="C16" t="s">
        <v>7</v>
      </c>
      <c r="D16" t="s">
        <v>7</v>
      </c>
      <c r="E16" t="s">
        <v>10</v>
      </c>
      <c r="F16" t="s">
        <v>7</v>
      </c>
      <c r="G16" t="s">
        <v>10</v>
      </c>
    </row>
    <row r="17" spans="1:7" x14ac:dyDescent="0.4">
      <c r="A17" s="12" t="s">
        <v>27</v>
      </c>
      <c r="B17">
        <v>16</v>
      </c>
      <c r="C17" t="s">
        <v>10</v>
      </c>
      <c r="D17" t="s">
        <v>10</v>
      </c>
      <c r="E17" t="s">
        <v>7</v>
      </c>
      <c r="F17" t="s">
        <v>10</v>
      </c>
      <c r="G17" t="s">
        <v>7</v>
      </c>
    </row>
    <row r="18" spans="1:7" x14ac:dyDescent="0.4">
      <c r="A18" s="12" t="s">
        <v>56</v>
      </c>
      <c r="B18">
        <v>10</v>
      </c>
      <c r="C18" t="s">
        <v>10</v>
      </c>
      <c r="D18" t="s">
        <v>7</v>
      </c>
      <c r="E18" t="s">
        <v>10</v>
      </c>
      <c r="F18" t="s">
        <v>10</v>
      </c>
      <c r="G18" t="s">
        <v>7</v>
      </c>
    </row>
    <row r="19" spans="1:7" x14ac:dyDescent="0.4">
      <c r="A19" s="12" t="s">
        <v>57</v>
      </c>
      <c r="B19">
        <v>16</v>
      </c>
      <c r="C19" t="s">
        <v>10</v>
      </c>
      <c r="D19" t="s">
        <v>10</v>
      </c>
      <c r="E19" t="s">
        <v>7</v>
      </c>
      <c r="F19" t="s">
        <v>7</v>
      </c>
      <c r="G19" t="s">
        <v>10</v>
      </c>
    </row>
  </sheetData>
  <phoneticPr fontId="6" type="noConversion"/>
  <conditionalFormatting sqref="C2:G19">
    <cfRule type="cellIs" dxfId="3" priority="1" operator="equal">
      <formula>"Yes"</formula>
    </cfRule>
  </conditionalFormatting>
  <pageMargins left="0.78749999999999998" right="0.78749999999999998" top="1.0249999999999999" bottom="1.0249999999999999" header="0.78749999999999998" footer="0.78749999999999998"/>
  <pageSetup firstPageNumber="0" fitToHeight="0" orientation="portrait" horizontalDpi="300" verticalDpi="300" r:id="rId1"/>
  <headerFooter alignWithMargins="0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245"/>
  <sheetViews>
    <sheetView topLeftCell="F132" zoomScaleNormal="100" workbookViewId="0">
      <selection activeCell="O193" sqref="O193"/>
    </sheetView>
  </sheetViews>
  <sheetFormatPr defaultColWidth="12.5546875" defaultRowHeight="12.75" customHeight="1" x14ac:dyDescent="0.4"/>
  <cols>
    <col min="1" max="1" width="28.44140625" bestFit="1" customWidth="1" collapsed="1"/>
    <col min="2" max="2" width="15.1640625" customWidth="1" collapsed="1"/>
    <col min="3" max="3" width="17.1640625" customWidth="1" collapsed="1"/>
    <col min="4" max="4" width="13.83203125" customWidth="1" collapsed="1"/>
    <col min="5" max="5" width="14.5546875" customWidth="1" collapsed="1"/>
    <col min="6" max="6" width="15.44140625" customWidth="1" collapsed="1"/>
    <col min="7" max="7" width="10.83203125" customWidth="1" collapsed="1"/>
    <col min="8" max="8" width="13.44140625" customWidth="1" collapsed="1"/>
    <col min="9" max="9" width="17.71875" customWidth="1" collapsed="1"/>
    <col min="10" max="10" width="18.1640625" customWidth="1" collapsed="1"/>
    <col min="11" max="11" width="16.5546875" customWidth="1" collapsed="1"/>
    <col min="12" max="12" width="17.5546875" customWidth="1" collapsed="1"/>
    <col min="13" max="13" width="16.44140625" customWidth="1" collapsed="1"/>
    <col min="14" max="14" width="11.1640625" customWidth="1" collapsed="1"/>
    <col min="15" max="15" width="12.5546875" customWidth="1" collapsed="1"/>
    <col min="16" max="16" width="30.5546875" customWidth="1" collapsed="1"/>
  </cols>
  <sheetData>
    <row r="1" spans="1:17" ht="12.75" customHeight="1" thickBot="1" x14ac:dyDescent="0.45">
      <c r="A1" s="15" t="s">
        <v>28</v>
      </c>
      <c r="B1" s="15" t="s">
        <v>29</v>
      </c>
      <c r="C1" s="64" t="s">
        <v>30</v>
      </c>
      <c r="D1" s="65" t="s">
        <v>31</v>
      </c>
      <c r="E1" s="66" t="s">
        <v>32</v>
      </c>
      <c r="F1" s="67" t="s">
        <v>33</v>
      </c>
      <c r="G1" s="67" t="s">
        <v>34</v>
      </c>
      <c r="H1" s="67" t="s">
        <v>35</v>
      </c>
      <c r="I1" s="67" t="s">
        <v>36</v>
      </c>
      <c r="J1" s="16" t="s">
        <v>37</v>
      </c>
      <c r="K1" s="17" t="s">
        <v>38</v>
      </c>
      <c r="L1" s="18" t="s">
        <v>39</v>
      </c>
      <c r="M1" s="19" t="s">
        <v>40</v>
      </c>
      <c r="N1" s="7" t="s">
        <v>41</v>
      </c>
      <c r="O1" t="s">
        <v>42</v>
      </c>
      <c r="Q1" t="s">
        <v>55</v>
      </c>
    </row>
    <row r="2" spans="1:17" ht="12.75" customHeight="1" thickBot="1" x14ac:dyDescent="0.45">
      <c r="A2" s="54" t="s">
        <v>60</v>
      </c>
      <c r="B2" s="54" t="s">
        <v>58</v>
      </c>
      <c r="C2" s="68" t="s">
        <v>59</v>
      </c>
      <c r="D2" s="69" t="s">
        <v>19</v>
      </c>
      <c r="E2" s="69" t="s">
        <v>25</v>
      </c>
      <c r="F2" s="70" t="s">
        <v>26</v>
      </c>
      <c r="G2" s="70" t="s">
        <v>22</v>
      </c>
      <c r="H2" s="70" t="s">
        <v>24</v>
      </c>
      <c r="I2" s="70" t="s">
        <v>6</v>
      </c>
      <c r="J2" s="2"/>
      <c r="K2" s="3"/>
      <c r="L2" s="4"/>
      <c r="M2" s="5"/>
      <c r="N2" s="1">
        <f>4-COUNTBLANK(J2:M2)</f>
        <v>0</v>
      </c>
      <c r="O2" t="e">
        <f ca="1">CheckDuplicateActivities(D2:I2, J2:M2)</f>
        <v>#NAME?</v>
      </c>
      <c r="P2" t="str">
        <f t="shared" ref="P2:P33" si="0">CONCATENATE(A2,", ",B2)</f>
        <v>Cub 1, Jane</v>
      </c>
      <c r="Q2">
        <f>COUNTBLANK(D2:I2)</f>
        <v>0</v>
      </c>
    </row>
    <row r="3" spans="1:17" ht="12.75" customHeight="1" thickBot="1" x14ac:dyDescent="0.45">
      <c r="A3" s="54" t="s">
        <v>60</v>
      </c>
      <c r="B3" s="54" t="s">
        <v>58</v>
      </c>
      <c r="C3" s="54" t="s">
        <v>59</v>
      </c>
      <c r="D3" s="55" t="s">
        <v>15</v>
      </c>
      <c r="E3" s="56" t="s">
        <v>24</v>
      </c>
      <c r="F3" s="58" t="s">
        <v>19</v>
      </c>
      <c r="G3" s="58" t="s">
        <v>18</v>
      </c>
      <c r="H3" s="58" t="s">
        <v>21</v>
      </c>
      <c r="I3" s="58" t="s">
        <v>9</v>
      </c>
      <c r="J3" s="2"/>
      <c r="K3" s="3"/>
      <c r="L3" s="4"/>
      <c r="M3" s="5"/>
      <c r="N3" s="1">
        <f t="shared" ref="N3:N18" si="1">4-COUNTBLANK(J3:M3)</f>
        <v>0</v>
      </c>
      <c r="O3" t="e">
        <f t="shared" ref="O3:O33" ca="1" si="2">CheckDuplicateActivities(D3:I3, J3:M3)</f>
        <v>#NAME?</v>
      </c>
      <c r="P3" t="str">
        <f t="shared" si="0"/>
        <v>Cub 1, Jane</v>
      </c>
      <c r="Q3">
        <f t="shared" ref="Q3:Q66" si="3">COUNTBLANK(D3:I3)</f>
        <v>0</v>
      </c>
    </row>
    <row r="4" spans="1:17" ht="13.5" customHeight="1" thickBot="1" x14ac:dyDescent="0.45">
      <c r="A4" s="54" t="s">
        <v>60</v>
      </c>
      <c r="B4" s="54" t="s">
        <v>58</v>
      </c>
      <c r="C4" s="54" t="s">
        <v>59</v>
      </c>
      <c r="D4" s="56" t="s">
        <v>6</v>
      </c>
      <c r="E4" s="56" t="s">
        <v>21</v>
      </c>
      <c r="F4" s="58" t="s">
        <v>18</v>
      </c>
      <c r="G4" s="58" t="s">
        <v>25</v>
      </c>
      <c r="H4" s="58" t="s">
        <v>17</v>
      </c>
      <c r="I4" s="58" t="s">
        <v>22</v>
      </c>
      <c r="J4" s="2"/>
      <c r="K4" s="3"/>
      <c r="L4" s="4"/>
      <c r="M4" s="5"/>
      <c r="N4" s="1">
        <f t="shared" si="1"/>
        <v>0</v>
      </c>
      <c r="O4" t="e">
        <f t="shared" ca="1" si="2"/>
        <v>#NAME?</v>
      </c>
      <c r="P4" t="str">
        <f t="shared" si="0"/>
        <v>Cub 1, Jane</v>
      </c>
      <c r="Q4">
        <f t="shared" si="3"/>
        <v>0</v>
      </c>
    </row>
    <row r="5" spans="1:17" ht="13.5" customHeight="1" thickBot="1" x14ac:dyDescent="0.45">
      <c r="A5" s="54" t="s">
        <v>60</v>
      </c>
      <c r="B5" s="54" t="s">
        <v>58</v>
      </c>
      <c r="C5" s="54" t="s">
        <v>59</v>
      </c>
      <c r="D5" s="56" t="s">
        <v>6</v>
      </c>
      <c r="E5" s="56" t="s">
        <v>25</v>
      </c>
      <c r="F5" s="58" t="s">
        <v>26</v>
      </c>
      <c r="G5" s="58" t="s">
        <v>19</v>
      </c>
      <c r="H5" s="58" t="s">
        <v>18</v>
      </c>
      <c r="I5" s="58" t="s">
        <v>22</v>
      </c>
      <c r="J5" s="2"/>
      <c r="K5" s="3"/>
      <c r="L5" s="4"/>
      <c r="M5" s="5"/>
      <c r="N5" s="1">
        <f t="shared" si="1"/>
        <v>0</v>
      </c>
      <c r="O5" t="e">
        <f t="shared" ca="1" si="2"/>
        <v>#NAME?</v>
      </c>
      <c r="P5" t="str">
        <f t="shared" si="0"/>
        <v>Cub 1, Jane</v>
      </c>
      <c r="Q5">
        <f t="shared" si="3"/>
        <v>0</v>
      </c>
    </row>
    <row r="6" spans="1:17" ht="12.75" customHeight="1" thickBot="1" x14ac:dyDescent="0.45">
      <c r="A6" s="54" t="s">
        <v>60</v>
      </c>
      <c r="B6" s="54" t="s">
        <v>58</v>
      </c>
      <c r="C6" s="54" t="s">
        <v>59</v>
      </c>
      <c r="D6" s="56" t="s">
        <v>20</v>
      </c>
      <c r="E6" s="56" t="s">
        <v>20</v>
      </c>
      <c r="F6" s="58" t="s">
        <v>19</v>
      </c>
      <c r="G6" s="58" t="s">
        <v>17</v>
      </c>
      <c r="H6" s="58" t="s">
        <v>21</v>
      </c>
      <c r="I6" s="58" t="s">
        <v>22</v>
      </c>
      <c r="J6" s="2"/>
      <c r="K6" s="3"/>
      <c r="L6" s="4"/>
      <c r="M6" s="5"/>
      <c r="N6" s="1">
        <f t="shared" si="1"/>
        <v>0</v>
      </c>
      <c r="O6" t="e">
        <f t="shared" ca="1" si="2"/>
        <v>#NAME?</v>
      </c>
      <c r="P6" t="str">
        <f t="shared" si="0"/>
        <v>Cub 1, Jane</v>
      </c>
      <c r="Q6">
        <f t="shared" si="3"/>
        <v>0</v>
      </c>
    </row>
    <row r="7" spans="1:17" ht="13.5" customHeight="1" thickBot="1" x14ac:dyDescent="0.45">
      <c r="A7" s="54" t="s">
        <v>60</v>
      </c>
      <c r="B7" s="54" t="s">
        <v>58</v>
      </c>
      <c r="C7" s="54" t="s">
        <v>59</v>
      </c>
      <c r="D7" s="56" t="s">
        <v>6</v>
      </c>
      <c r="E7" s="56" t="s">
        <v>15</v>
      </c>
      <c r="F7" s="58" t="s">
        <v>9</v>
      </c>
      <c r="G7" s="58" t="s">
        <v>26</v>
      </c>
      <c r="H7" s="58" t="s">
        <v>18</v>
      </c>
      <c r="I7" s="58" t="s">
        <v>27</v>
      </c>
      <c r="J7" s="2"/>
      <c r="K7" s="3"/>
      <c r="L7" s="4"/>
      <c r="M7" s="5"/>
      <c r="N7" s="1">
        <f t="shared" si="1"/>
        <v>0</v>
      </c>
      <c r="O7" t="e">
        <f t="shared" ca="1" si="2"/>
        <v>#NAME?</v>
      </c>
      <c r="P7" t="str">
        <f t="shared" si="0"/>
        <v>Cub 1, Jane</v>
      </c>
      <c r="Q7">
        <f t="shared" si="3"/>
        <v>0</v>
      </c>
    </row>
    <row r="8" spans="1:17" ht="13.5" customHeight="1" thickBot="1" x14ac:dyDescent="0.45">
      <c r="A8" s="54" t="s">
        <v>60</v>
      </c>
      <c r="B8" s="54" t="s">
        <v>58</v>
      </c>
      <c r="C8" s="54" t="s">
        <v>59</v>
      </c>
      <c r="D8" s="56" t="s">
        <v>9</v>
      </c>
      <c r="E8" s="56" t="s">
        <v>19</v>
      </c>
      <c r="F8" s="58" t="s">
        <v>15</v>
      </c>
      <c r="G8" s="58" t="s">
        <v>22</v>
      </c>
      <c r="H8" s="58" t="s">
        <v>11</v>
      </c>
      <c r="I8" s="58" t="s">
        <v>25</v>
      </c>
      <c r="J8" s="2"/>
      <c r="K8" s="3"/>
      <c r="L8" s="4"/>
      <c r="M8" s="5"/>
      <c r="N8" s="1">
        <f t="shared" si="1"/>
        <v>0</v>
      </c>
      <c r="O8" t="e">
        <f t="shared" ca="1" si="2"/>
        <v>#NAME?</v>
      </c>
      <c r="P8" t="str">
        <f t="shared" si="0"/>
        <v>Cub 1, Jane</v>
      </c>
      <c r="Q8">
        <f t="shared" si="3"/>
        <v>0</v>
      </c>
    </row>
    <row r="9" spans="1:17" ht="13.5" customHeight="1" thickBot="1" x14ac:dyDescent="0.45">
      <c r="A9" s="54" t="s">
        <v>60</v>
      </c>
      <c r="B9" s="54" t="s">
        <v>58</v>
      </c>
      <c r="C9" s="54" t="s">
        <v>59</v>
      </c>
      <c r="D9" s="56" t="s">
        <v>20</v>
      </c>
      <c r="E9" s="56" t="s">
        <v>20</v>
      </c>
      <c r="F9" s="58" t="s">
        <v>17</v>
      </c>
      <c r="G9" s="58" t="s">
        <v>25</v>
      </c>
      <c r="H9" s="58" t="s">
        <v>26</v>
      </c>
      <c r="I9" s="58" t="s">
        <v>6</v>
      </c>
      <c r="J9" s="2"/>
      <c r="K9" s="3"/>
      <c r="L9" s="4"/>
      <c r="M9" s="5"/>
      <c r="N9" s="1">
        <f t="shared" si="1"/>
        <v>0</v>
      </c>
      <c r="O9" t="e">
        <f t="shared" ca="1" si="2"/>
        <v>#NAME?</v>
      </c>
      <c r="P9" t="str">
        <f t="shared" si="0"/>
        <v>Cub 1, Jane</v>
      </c>
      <c r="Q9">
        <f t="shared" si="3"/>
        <v>0</v>
      </c>
    </row>
    <row r="10" spans="1:17" ht="13.5" customHeight="1" thickBot="1" x14ac:dyDescent="0.45">
      <c r="A10" s="54" t="s">
        <v>60</v>
      </c>
      <c r="B10" s="54" t="s">
        <v>58</v>
      </c>
      <c r="C10" s="54" t="s">
        <v>59</v>
      </c>
      <c r="D10" s="55" t="s">
        <v>6</v>
      </c>
      <c r="E10" s="55" t="s">
        <v>9</v>
      </c>
      <c r="F10" s="57" t="s">
        <v>25</v>
      </c>
      <c r="G10" s="57" t="s">
        <v>18</v>
      </c>
      <c r="H10" s="57" t="s">
        <v>24</v>
      </c>
      <c r="I10" s="57" t="s">
        <v>22</v>
      </c>
      <c r="J10" s="2"/>
      <c r="K10" s="3"/>
      <c r="L10" s="4"/>
      <c r="M10" s="5"/>
      <c r="N10" s="1">
        <f t="shared" si="1"/>
        <v>0</v>
      </c>
      <c r="O10" t="e">
        <f t="shared" ca="1" si="2"/>
        <v>#NAME?</v>
      </c>
      <c r="P10" t="str">
        <f t="shared" si="0"/>
        <v>Cub 1, Jane</v>
      </c>
      <c r="Q10">
        <f t="shared" si="3"/>
        <v>0</v>
      </c>
    </row>
    <row r="11" spans="1:17" ht="13.5" customHeight="1" thickBot="1" x14ac:dyDescent="0.45">
      <c r="A11" s="54" t="s">
        <v>60</v>
      </c>
      <c r="B11" s="54" t="s">
        <v>58</v>
      </c>
      <c r="C11" s="54" t="s">
        <v>59</v>
      </c>
      <c r="D11" s="56" t="s">
        <v>20</v>
      </c>
      <c r="E11" s="56" t="s">
        <v>20</v>
      </c>
      <c r="F11" s="58" t="s">
        <v>25</v>
      </c>
      <c r="G11" s="58" t="s">
        <v>6</v>
      </c>
      <c r="H11" s="58" t="s">
        <v>17</v>
      </c>
      <c r="I11" s="58" t="s">
        <v>26</v>
      </c>
      <c r="J11" s="2"/>
      <c r="K11" s="3"/>
      <c r="L11" s="4"/>
      <c r="M11" s="5"/>
      <c r="N11" s="1">
        <f t="shared" si="1"/>
        <v>0</v>
      </c>
      <c r="O11" t="e">
        <f t="shared" ca="1" si="2"/>
        <v>#NAME?</v>
      </c>
      <c r="P11" t="str">
        <f t="shared" si="0"/>
        <v>Cub 1, Jane</v>
      </c>
      <c r="Q11">
        <f t="shared" si="3"/>
        <v>0</v>
      </c>
    </row>
    <row r="12" spans="1:17" ht="13.5" customHeight="1" thickBot="1" x14ac:dyDescent="0.45">
      <c r="A12" s="54"/>
      <c r="B12" s="60"/>
      <c r="C12" s="60"/>
      <c r="D12" s="56"/>
      <c r="E12" s="56"/>
      <c r="F12" s="58"/>
      <c r="G12" s="58"/>
      <c r="H12" s="58"/>
      <c r="I12" s="58"/>
      <c r="J12" s="2"/>
      <c r="K12" s="3"/>
      <c r="L12" s="4"/>
      <c r="M12" s="5"/>
      <c r="N12" s="1">
        <f t="shared" si="1"/>
        <v>0</v>
      </c>
      <c r="O12" t="str">
        <f t="shared" si="2"/>
        <v/>
      </c>
      <c r="P12" t="str">
        <f t="shared" si="0"/>
        <v xml:space="preserve">, </v>
      </c>
      <c r="Q12">
        <f t="shared" si="3"/>
        <v>6</v>
      </c>
    </row>
    <row r="13" spans="1:17" ht="13.5" customHeight="1" thickBot="1" x14ac:dyDescent="0.45">
      <c r="A13" s="54"/>
      <c r="B13" s="54"/>
      <c r="C13" s="54"/>
      <c r="D13" s="55"/>
      <c r="E13" s="55"/>
      <c r="F13" s="57"/>
      <c r="G13" s="57"/>
      <c r="H13" s="57"/>
      <c r="I13" s="57"/>
      <c r="J13" s="2"/>
      <c r="K13" s="3"/>
      <c r="L13" s="4"/>
      <c r="M13" s="5"/>
      <c r="N13" s="1">
        <f t="shared" si="1"/>
        <v>0</v>
      </c>
      <c r="O13" t="e">
        <f t="shared" ca="1" si="2"/>
        <v>#NAME?</v>
      </c>
      <c r="P13" t="str">
        <f t="shared" si="0"/>
        <v xml:space="preserve">, </v>
      </c>
      <c r="Q13">
        <f t="shared" si="3"/>
        <v>6</v>
      </c>
    </row>
    <row r="14" spans="1:17" ht="13.5" customHeight="1" thickBot="1" x14ac:dyDescent="0.45">
      <c r="A14" s="54"/>
      <c r="B14" s="60"/>
      <c r="C14" s="60"/>
      <c r="D14" s="56"/>
      <c r="E14" s="56"/>
      <c r="F14" s="58"/>
      <c r="G14" s="58"/>
      <c r="H14" s="58"/>
      <c r="I14" s="58"/>
      <c r="J14" s="2"/>
      <c r="K14" s="3"/>
      <c r="L14" s="4"/>
      <c r="M14" s="5"/>
      <c r="N14" s="1">
        <f t="shared" si="1"/>
        <v>0</v>
      </c>
      <c r="O14" t="e">
        <f t="shared" ca="1" si="2"/>
        <v>#NAME?</v>
      </c>
      <c r="P14" t="str">
        <f t="shared" si="0"/>
        <v xml:space="preserve">, </v>
      </c>
      <c r="Q14">
        <f t="shared" si="3"/>
        <v>6</v>
      </c>
    </row>
    <row r="15" spans="1:17" ht="13.5" customHeight="1" thickBot="1" x14ac:dyDescent="0.45">
      <c r="A15" s="54"/>
      <c r="B15" s="54"/>
      <c r="C15" s="54"/>
      <c r="D15" s="56"/>
      <c r="E15" s="56"/>
      <c r="F15" s="58"/>
      <c r="G15" s="58"/>
      <c r="H15" s="58"/>
      <c r="I15" s="58"/>
      <c r="J15" s="2"/>
      <c r="K15" s="3"/>
      <c r="L15" s="4"/>
      <c r="M15" s="5"/>
      <c r="N15" s="1">
        <f t="shared" si="1"/>
        <v>0</v>
      </c>
      <c r="O15" t="e">
        <f t="shared" ca="1" si="2"/>
        <v>#NAME?</v>
      </c>
      <c r="P15" t="str">
        <f t="shared" si="0"/>
        <v xml:space="preserve">, </v>
      </c>
      <c r="Q15">
        <f t="shared" si="3"/>
        <v>6</v>
      </c>
    </row>
    <row r="16" spans="1:17" ht="13.5" customHeight="1" thickBot="1" x14ac:dyDescent="0.45">
      <c r="A16" s="54"/>
      <c r="B16" s="60"/>
      <c r="C16" s="60"/>
      <c r="D16" s="56"/>
      <c r="E16" s="56"/>
      <c r="F16" s="58"/>
      <c r="G16" s="58"/>
      <c r="H16" s="58"/>
      <c r="I16" s="58"/>
      <c r="J16" s="2"/>
      <c r="K16" s="3"/>
      <c r="L16" s="4"/>
      <c r="M16" s="5"/>
      <c r="N16" s="1">
        <f t="shared" si="1"/>
        <v>0</v>
      </c>
      <c r="O16" t="e">
        <f t="shared" ca="1" si="2"/>
        <v>#NAME?</v>
      </c>
      <c r="P16" t="str">
        <f t="shared" si="0"/>
        <v xml:space="preserve">, </v>
      </c>
      <c r="Q16">
        <f t="shared" si="3"/>
        <v>6</v>
      </c>
    </row>
    <row r="17" spans="1:17" ht="13.5" customHeight="1" thickBot="1" x14ac:dyDescent="0.45">
      <c r="A17" s="54"/>
      <c r="B17" s="54"/>
      <c r="C17" s="54"/>
      <c r="D17" s="56"/>
      <c r="E17" s="56"/>
      <c r="F17" s="58"/>
      <c r="G17" s="58"/>
      <c r="H17" s="58"/>
      <c r="I17" s="58"/>
      <c r="J17" s="2"/>
      <c r="K17" s="3"/>
      <c r="L17" s="4"/>
      <c r="M17" s="5"/>
      <c r="N17" s="1">
        <f t="shared" si="1"/>
        <v>0</v>
      </c>
      <c r="O17" t="e">
        <f t="shared" ca="1" si="2"/>
        <v>#NAME?</v>
      </c>
      <c r="P17" t="str">
        <f t="shared" si="0"/>
        <v xml:space="preserve">, </v>
      </c>
      <c r="Q17">
        <f t="shared" si="3"/>
        <v>6</v>
      </c>
    </row>
    <row r="18" spans="1:17" ht="13.5" customHeight="1" thickBot="1" x14ac:dyDescent="0.45">
      <c r="A18" s="54"/>
      <c r="B18" s="60"/>
      <c r="C18" s="60"/>
      <c r="D18" s="56"/>
      <c r="E18" s="56"/>
      <c r="F18" s="58"/>
      <c r="G18" s="58"/>
      <c r="H18" s="58"/>
      <c r="I18" s="58"/>
      <c r="J18" s="2"/>
      <c r="K18" s="3"/>
      <c r="L18" s="4"/>
      <c r="M18" s="5"/>
      <c r="N18" s="1">
        <f t="shared" si="1"/>
        <v>0</v>
      </c>
      <c r="O18" t="e">
        <f t="shared" ca="1" si="2"/>
        <v>#NAME?</v>
      </c>
      <c r="P18" t="str">
        <f t="shared" si="0"/>
        <v xml:space="preserve">, </v>
      </c>
      <c r="Q18">
        <f t="shared" si="3"/>
        <v>6</v>
      </c>
    </row>
    <row r="19" spans="1:17" ht="13.5" customHeight="1" thickBot="1" x14ac:dyDescent="0.45">
      <c r="A19" s="53"/>
      <c r="B19" s="59"/>
      <c r="C19" s="59"/>
      <c r="D19" s="27"/>
      <c r="E19" s="27"/>
      <c r="F19" s="57"/>
      <c r="G19" s="57"/>
      <c r="H19" s="57"/>
      <c r="I19" s="57"/>
      <c r="J19" s="2"/>
      <c r="K19" s="3"/>
      <c r="L19" s="4"/>
      <c r="M19" s="5"/>
      <c r="N19" s="1">
        <f t="shared" ref="N19:N65" si="4">4-COUNTBLANK(J19:M19)</f>
        <v>0</v>
      </c>
      <c r="O19" t="e">
        <f t="shared" ca="1" si="2"/>
        <v>#NAME?</v>
      </c>
      <c r="P19" t="str">
        <f t="shared" si="0"/>
        <v xml:space="preserve">, </v>
      </c>
      <c r="Q19">
        <f t="shared" si="3"/>
        <v>6</v>
      </c>
    </row>
    <row r="20" spans="1:17" ht="13.5" customHeight="1" thickBot="1" x14ac:dyDescent="0.45">
      <c r="A20" s="54"/>
      <c r="B20" s="60"/>
      <c r="C20" s="60"/>
      <c r="D20" s="56"/>
      <c r="E20" s="56"/>
      <c r="F20" s="58"/>
      <c r="G20" s="58"/>
      <c r="H20" s="58"/>
      <c r="I20" s="58"/>
      <c r="J20" s="2"/>
      <c r="K20" s="3"/>
      <c r="L20" s="4"/>
      <c r="M20" s="5"/>
      <c r="N20" s="1">
        <f t="shared" si="4"/>
        <v>0</v>
      </c>
      <c r="O20" t="e">
        <f t="shared" ca="1" si="2"/>
        <v>#NAME?</v>
      </c>
      <c r="P20" t="str">
        <f t="shared" si="0"/>
        <v xml:space="preserve">, </v>
      </c>
      <c r="Q20">
        <f t="shared" si="3"/>
        <v>6</v>
      </c>
    </row>
    <row r="21" spans="1:17" ht="13.5" customHeight="1" thickBot="1" x14ac:dyDescent="0.45">
      <c r="A21" s="54"/>
      <c r="B21" s="60"/>
      <c r="C21" s="60"/>
      <c r="D21" s="55"/>
      <c r="E21" s="55"/>
      <c r="F21" s="57"/>
      <c r="G21" s="57"/>
      <c r="H21" s="57"/>
      <c r="I21" s="57"/>
      <c r="J21" s="2"/>
      <c r="K21" s="3"/>
      <c r="L21" s="4"/>
      <c r="M21" s="5"/>
      <c r="N21" s="1">
        <f t="shared" si="4"/>
        <v>0</v>
      </c>
      <c r="O21" t="e">
        <f t="shared" ca="1" si="2"/>
        <v>#NAME?</v>
      </c>
      <c r="P21" t="str">
        <f t="shared" si="0"/>
        <v xml:space="preserve">, </v>
      </c>
      <c r="Q21">
        <f t="shared" si="3"/>
        <v>6</v>
      </c>
    </row>
    <row r="22" spans="1:17" ht="13.5" customHeight="1" thickBot="1" x14ac:dyDescent="0.45">
      <c r="A22" s="54"/>
      <c r="B22" s="54"/>
      <c r="C22" s="54"/>
      <c r="D22" s="27"/>
      <c r="E22" s="27"/>
      <c r="F22" s="58"/>
      <c r="G22" s="58"/>
      <c r="H22" s="58"/>
      <c r="I22" s="58"/>
      <c r="J22" s="2"/>
      <c r="K22" s="3"/>
      <c r="L22" s="4"/>
      <c r="M22" s="5"/>
      <c r="N22" s="1">
        <f t="shared" si="4"/>
        <v>0</v>
      </c>
      <c r="O22" t="e">
        <f t="shared" ca="1" si="2"/>
        <v>#NAME?</v>
      </c>
      <c r="P22" t="str">
        <f t="shared" si="0"/>
        <v xml:space="preserve">, </v>
      </c>
      <c r="Q22">
        <f t="shared" si="3"/>
        <v>6</v>
      </c>
    </row>
    <row r="23" spans="1:17" ht="13.5" customHeight="1" thickBot="1" x14ac:dyDescent="0.45">
      <c r="A23" s="54"/>
      <c r="B23" s="54"/>
      <c r="C23" s="54"/>
      <c r="D23" s="56"/>
      <c r="E23" s="56"/>
      <c r="F23" s="58"/>
      <c r="G23" s="58"/>
      <c r="H23" s="58"/>
      <c r="I23" s="58"/>
      <c r="J23" s="2"/>
      <c r="K23" s="3"/>
      <c r="L23" s="4"/>
      <c r="M23" s="5"/>
      <c r="N23" s="1">
        <f t="shared" si="4"/>
        <v>0</v>
      </c>
      <c r="O23" t="e">
        <f t="shared" ca="1" si="2"/>
        <v>#NAME?</v>
      </c>
      <c r="P23" t="str">
        <f t="shared" si="0"/>
        <v xml:space="preserve">, </v>
      </c>
      <c r="Q23">
        <f t="shared" si="3"/>
        <v>6</v>
      </c>
    </row>
    <row r="24" spans="1:17" ht="13.5" customHeight="1" thickBot="1" x14ac:dyDescent="0.45">
      <c r="A24" s="54"/>
      <c r="B24" s="54"/>
      <c r="C24" s="54"/>
      <c r="D24" s="55"/>
      <c r="E24" s="55"/>
      <c r="F24" s="57"/>
      <c r="G24" s="57"/>
      <c r="H24" s="57"/>
      <c r="I24" s="57"/>
      <c r="J24" s="2"/>
      <c r="K24" s="3"/>
      <c r="L24" s="4"/>
      <c r="M24" s="5"/>
      <c r="N24" s="1">
        <f t="shared" si="4"/>
        <v>0</v>
      </c>
      <c r="O24" t="e">
        <f t="shared" ca="1" si="2"/>
        <v>#NAME?</v>
      </c>
      <c r="P24" t="str">
        <f t="shared" si="0"/>
        <v xml:space="preserve">, </v>
      </c>
      <c r="Q24">
        <f t="shared" si="3"/>
        <v>6</v>
      </c>
    </row>
    <row r="25" spans="1:17" ht="13.5" customHeight="1" thickBot="1" x14ac:dyDescent="0.45">
      <c r="A25" s="54"/>
      <c r="B25" s="54"/>
      <c r="C25" s="54"/>
      <c r="D25" s="56"/>
      <c r="E25" s="56"/>
      <c r="F25" s="58"/>
      <c r="G25" s="58"/>
      <c r="H25" s="58"/>
      <c r="I25" s="57"/>
      <c r="J25" s="2"/>
      <c r="K25" s="3"/>
      <c r="L25" s="4"/>
      <c r="M25" s="5"/>
      <c r="N25" s="1">
        <f t="shared" si="4"/>
        <v>0</v>
      </c>
      <c r="O25" t="e">
        <f t="shared" ca="1" si="2"/>
        <v>#NAME?</v>
      </c>
      <c r="P25" t="str">
        <f t="shared" si="0"/>
        <v xml:space="preserve">, </v>
      </c>
      <c r="Q25">
        <f t="shared" si="3"/>
        <v>6</v>
      </c>
    </row>
    <row r="26" spans="1:17" ht="13.5" customHeight="1" thickBot="1" x14ac:dyDescent="0.45">
      <c r="A26" s="54"/>
      <c r="B26" s="60"/>
      <c r="C26" s="60"/>
      <c r="D26" s="56"/>
      <c r="E26" s="56"/>
      <c r="F26" s="58"/>
      <c r="G26" s="58"/>
      <c r="H26" s="58"/>
      <c r="I26" s="58"/>
      <c r="J26" s="2"/>
      <c r="K26" s="3"/>
      <c r="L26" s="4"/>
      <c r="M26" s="5"/>
      <c r="N26" s="1">
        <f t="shared" si="4"/>
        <v>0</v>
      </c>
      <c r="O26" t="e">
        <f t="shared" ca="1" si="2"/>
        <v>#NAME?</v>
      </c>
      <c r="P26" t="str">
        <f t="shared" si="0"/>
        <v xml:space="preserve">, </v>
      </c>
      <c r="Q26">
        <f t="shared" si="3"/>
        <v>6</v>
      </c>
    </row>
    <row r="27" spans="1:17" ht="12.75" customHeight="1" thickBot="1" x14ac:dyDescent="0.45">
      <c r="A27" s="54"/>
      <c r="B27" s="54"/>
      <c r="C27" s="54"/>
      <c r="D27" s="56"/>
      <c r="E27" s="56"/>
      <c r="F27" s="58"/>
      <c r="G27" s="58"/>
      <c r="H27" s="58"/>
      <c r="I27" s="58"/>
      <c r="J27" s="2"/>
      <c r="K27" s="3"/>
      <c r="L27" s="4"/>
      <c r="M27" s="5"/>
      <c r="N27" s="1">
        <f t="shared" si="4"/>
        <v>0</v>
      </c>
      <c r="O27" t="e">
        <f t="shared" ca="1" si="2"/>
        <v>#NAME?</v>
      </c>
      <c r="P27" t="str">
        <f t="shared" si="0"/>
        <v xml:space="preserve">, </v>
      </c>
      <c r="Q27">
        <f t="shared" si="3"/>
        <v>6</v>
      </c>
    </row>
    <row r="28" spans="1:17" ht="12.75" customHeight="1" thickBot="1" x14ac:dyDescent="0.45">
      <c r="A28" s="53"/>
      <c r="B28" s="53"/>
      <c r="C28" s="53"/>
      <c r="D28" s="55"/>
      <c r="E28" s="55"/>
      <c r="F28" s="57"/>
      <c r="G28" s="57"/>
      <c r="H28" s="57"/>
      <c r="I28" s="57"/>
      <c r="J28" s="2"/>
      <c r="K28" s="3"/>
      <c r="L28" s="4"/>
      <c r="M28" s="5"/>
      <c r="N28" s="1">
        <f t="shared" si="4"/>
        <v>0</v>
      </c>
      <c r="O28" t="e">
        <f t="shared" ca="1" si="2"/>
        <v>#NAME?</v>
      </c>
      <c r="P28" t="str">
        <f t="shared" si="0"/>
        <v xml:space="preserve">, </v>
      </c>
      <c r="Q28">
        <f t="shared" si="3"/>
        <v>6</v>
      </c>
    </row>
    <row r="29" spans="1:17" ht="12.75" customHeight="1" thickBot="1" x14ac:dyDescent="0.45">
      <c r="A29" s="54"/>
      <c r="B29" s="60"/>
      <c r="C29" s="60"/>
      <c r="D29" s="56"/>
      <c r="E29" s="56"/>
      <c r="F29" s="58"/>
      <c r="G29" s="58"/>
      <c r="H29" s="58"/>
      <c r="I29" s="58"/>
      <c r="J29" s="2"/>
      <c r="K29" s="3"/>
      <c r="L29" s="4"/>
      <c r="M29" s="5"/>
      <c r="N29" s="1">
        <f t="shared" si="4"/>
        <v>0</v>
      </c>
      <c r="O29" t="e">
        <f t="shared" ca="1" si="2"/>
        <v>#NAME?</v>
      </c>
      <c r="P29" t="str">
        <f t="shared" si="0"/>
        <v xml:space="preserve">, </v>
      </c>
      <c r="Q29">
        <f t="shared" si="3"/>
        <v>6</v>
      </c>
    </row>
    <row r="30" spans="1:17" ht="12.75" customHeight="1" thickBot="1" x14ac:dyDescent="0.45">
      <c r="A30" s="54"/>
      <c r="B30" s="60"/>
      <c r="C30" s="60"/>
      <c r="D30" s="56"/>
      <c r="E30" s="56"/>
      <c r="F30" s="58"/>
      <c r="G30" s="58"/>
      <c r="H30" s="58"/>
      <c r="I30" s="58"/>
      <c r="J30" s="2"/>
      <c r="K30" s="3"/>
      <c r="L30" s="4"/>
      <c r="M30" s="5"/>
      <c r="N30" s="1">
        <f t="shared" si="4"/>
        <v>0</v>
      </c>
      <c r="O30" t="e">
        <f t="shared" ca="1" si="2"/>
        <v>#NAME?</v>
      </c>
      <c r="P30" t="str">
        <f t="shared" si="0"/>
        <v xml:space="preserve">, </v>
      </c>
      <c r="Q30">
        <f t="shared" si="3"/>
        <v>6</v>
      </c>
    </row>
    <row r="31" spans="1:17" ht="12.75" customHeight="1" thickBot="1" x14ac:dyDescent="0.45">
      <c r="A31" s="54"/>
      <c r="B31" s="54"/>
      <c r="C31" s="54"/>
      <c r="D31" s="56"/>
      <c r="E31" s="56"/>
      <c r="F31" s="58"/>
      <c r="G31" s="58"/>
      <c r="H31" s="58"/>
      <c r="I31" s="58"/>
      <c r="J31" s="2"/>
      <c r="K31" s="3"/>
      <c r="L31" s="4"/>
      <c r="M31" s="5"/>
      <c r="N31" s="1">
        <f t="shared" si="4"/>
        <v>0</v>
      </c>
      <c r="O31" t="e">
        <f t="shared" ca="1" si="2"/>
        <v>#NAME?</v>
      </c>
      <c r="P31" t="str">
        <f t="shared" si="0"/>
        <v xml:space="preserve">, </v>
      </c>
      <c r="Q31">
        <f t="shared" si="3"/>
        <v>6</v>
      </c>
    </row>
    <row r="32" spans="1:17" ht="13.5" customHeight="1" thickBot="1" x14ac:dyDescent="0.45">
      <c r="A32" s="54"/>
      <c r="B32" s="60"/>
      <c r="C32" s="60"/>
      <c r="D32" s="56"/>
      <c r="E32" s="56"/>
      <c r="F32" s="58"/>
      <c r="G32" s="58"/>
      <c r="H32" s="58"/>
      <c r="I32" s="58"/>
      <c r="J32" s="2"/>
      <c r="K32" s="3"/>
      <c r="L32" s="4"/>
      <c r="M32" s="5"/>
      <c r="N32" s="1">
        <f t="shared" si="4"/>
        <v>0</v>
      </c>
      <c r="O32" t="e">
        <f t="shared" ca="1" si="2"/>
        <v>#NAME?</v>
      </c>
      <c r="P32" t="str">
        <f t="shared" si="0"/>
        <v xml:space="preserve">, </v>
      </c>
      <c r="Q32">
        <f t="shared" si="3"/>
        <v>6</v>
      </c>
    </row>
    <row r="33" spans="1:17" ht="13.5" customHeight="1" thickBot="1" x14ac:dyDescent="0.45">
      <c r="A33" s="54"/>
      <c r="B33" s="60"/>
      <c r="C33" s="60"/>
      <c r="D33" s="56"/>
      <c r="E33" s="56"/>
      <c r="F33" s="58"/>
      <c r="G33" s="58"/>
      <c r="H33" s="58"/>
      <c r="I33" s="58"/>
      <c r="J33" s="2"/>
      <c r="K33" s="3"/>
      <c r="L33" s="4"/>
      <c r="M33" s="5"/>
      <c r="N33" s="1">
        <f t="shared" si="4"/>
        <v>0</v>
      </c>
      <c r="O33" t="e">
        <f t="shared" ca="1" si="2"/>
        <v>#NAME?</v>
      </c>
      <c r="P33" t="str">
        <f t="shared" si="0"/>
        <v xml:space="preserve">, </v>
      </c>
      <c r="Q33">
        <f t="shared" si="3"/>
        <v>6</v>
      </c>
    </row>
    <row r="34" spans="1:17" ht="13.5" customHeight="1" thickBot="1" x14ac:dyDescent="0.45">
      <c r="A34" s="54"/>
      <c r="B34" s="60"/>
      <c r="C34" s="60"/>
      <c r="D34" s="56"/>
      <c r="E34" s="56"/>
      <c r="F34" s="58"/>
      <c r="G34" s="58"/>
      <c r="H34" s="58"/>
      <c r="I34" s="58"/>
      <c r="J34" s="2"/>
      <c r="K34" s="3"/>
      <c r="L34" s="4"/>
      <c r="M34" s="5"/>
      <c r="N34" s="1">
        <f t="shared" si="4"/>
        <v>0</v>
      </c>
      <c r="O34" t="e">
        <f t="shared" ref="O34:O65" ca="1" si="5">CheckDuplicateActivities(D34:I34, J34:M34)</f>
        <v>#NAME?</v>
      </c>
      <c r="P34" t="str">
        <f t="shared" ref="P34:P65" si="6">CONCATENATE(A34,", ",B34)</f>
        <v xml:space="preserve">, </v>
      </c>
      <c r="Q34">
        <f t="shared" si="3"/>
        <v>6</v>
      </c>
    </row>
    <row r="35" spans="1:17" ht="13.5" customHeight="1" thickBot="1" x14ac:dyDescent="0.45">
      <c r="A35" s="54"/>
      <c r="B35" s="54"/>
      <c r="C35" s="54"/>
      <c r="D35" s="55"/>
      <c r="E35" s="55"/>
      <c r="F35" s="57"/>
      <c r="G35" s="57"/>
      <c r="H35" s="57"/>
      <c r="I35" s="57"/>
      <c r="J35" s="2"/>
      <c r="K35" s="3"/>
      <c r="L35" s="4"/>
      <c r="M35" s="5"/>
      <c r="N35" s="1">
        <f t="shared" si="4"/>
        <v>0</v>
      </c>
      <c r="O35" t="e">
        <f t="shared" ca="1" si="5"/>
        <v>#NAME?</v>
      </c>
      <c r="P35" t="str">
        <f t="shared" si="6"/>
        <v xml:space="preserve">, </v>
      </c>
      <c r="Q35">
        <f t="shared" si="3"/>
        <v>6</v>
      </c>
    </row>
    <row r="36" spans="1:17" ht="13.5" customHeight="1" thickBot="1" x14ac:dyDescent="0.45">
      <c r="A36" s="54"/>
      <c r="B36" s="60"/>
      <c r="C36" s="60"/>
      <c r="D36" s="56"/>
      <c r="E36" s="56"/>
      <c r="F36" s="58"/>
      <c r="G36" s="58"/>
      <c r="H36" s="58"/>
      <c r="I36" s="58"/>
      <c r="J36" s="2"/>
      <c r="K36" s="3"/>
      <c r="L36" s="4"/>
      <c r="M36" s="5"/>
      <c r="N36" s="1">
        <f t="shared" si="4"/>
        <v>0</v>
      </c>
      <c r="O36" t="e">
        <f t="shared" ca="1" si="5"/>
        <v>#NAME?</v>
      </c>
      <c r="P36" t="str">
        <f t="shared" si="6"/>
        <v xml:space="preserve">, </v>
      </c>
      <c r="Q36">
        <f t="shared" si="3"/>
        <v>6</v>
      </c>
    </row>
    <row r="37" spans="1:17" ht="12.75" customHeight="1" thickBot="1" x14ac:dyDescent="0.45">
      <c r="A37" s="53"/>
      <c r="B37" s="53"/>
      <c r="C37" s="53"/>
      <c r="D37" s="55"/>
      <c r="E37" s="55"/>
      <c r="F37" s="57"/>
      <c r="G37" s="57"/>
      <c r="H37" s="57"/>
      <c r="I37" s="57"/>
      <c r="J37" s="2"/>
      <c r="K37" s="3"/>
      <c r="L37" s="4"/>
      <c r="M37" s="5"/>
      <c r="N37" s="1">
        <f t="shared" si="4"/>
        <v>0</v>
      </c>
      <c r="O37" t="e">
        <f t="shared" ca="1" si="5"/>
        <v>#NAME?</v>
      </c>
      <c r="P37" t="str">
        <f t="shared" si="6"/>
        <v xml:space="preserve">, </v>
      </c>
      <c r="Q37">
        <f t="shared" si="3"/>
        <v>6</v>
      </c>
    </row>
    <row r="38" spans="1:17" ht="13.5" customHeight="1" thickBot="1" x14ac:dyDescent="0.45">
      <c r="A38" s="54"/>
      <c r="B38" s="60"/>
      <c r="C38" s="60"/>
      <c r="D38" s="56"/>
      <c r="E38" s="56"/>
      <c r="F38" s="58"/>
      <c r="G38" s="58"/>
      <c r="H38" s="58"/>
      <c r="I38" s="58"/>
      <c r="J38" s="2"/>
      <c r="K38" s="3"/>
      <c r="L38" s="4"/>
      <c r="M38" s="5"/>
      <c r="N38" s="1">
        <f t="shared" si="4"/>
        <v>0</v>
      </c>
      <c r="O38" t="e">
        <f t="shared" ca="1" si="5"/>
        <v>#NAME?</v>
      </c>
      <c r="P38" t="str">
        <f t="shared" si="6"/>
        <v xml:space="preserve">, </v>
      </c>
      <c r="Q38">
        <f t="shared" si="3"/>
        <v>6</v>
      </c>
    </row>
    <row r="39" spans="1:17" ht="13.5" customHeight="1" thickBot="1" x14ac:dyDescent="0.45">
      <c r="A39" s="54"/>
      <c r="B39" s="60"/>
      <c r="C39" s="60"/>
      <c r="D39" s="56"/>
      <c r="E39" s="56"/>
      <c r="F39" s="58"/>
      <c r="G39" s="58"/>
      <c r="H39" s="58"/>
      <c r="I39" s="58"/>
      <c r="J39" s="2"/>
      <c r="K39" s="3"/>
      <c r="L39" s="4"/>
      <c r="M39" s="5"/>
      <c r="N39" s="1">
        <f t="shared" si="4"/>
        <v>0</v>
      </c>
      <c r="O39" t="e">
        <f t="shared" ca="1" si="5"/>
        <v>#NAME?</v>
      </c>
      <c r="P39" t="str">
        <f t="shared" si="6"/>
        <v xml:space="preserve">, </v>
      </c>
      <c r="Q39">
        <f t="shared" si="3"/>
        <v>6</v>
      </c>
    </row>
    <row r="40" spans="1:17" ht="13.5" customHeight="1" thickBot="1" x14ac:dyDescent="0.45">
      <c r="A40" s="54"/>
      <c r="B40" s="60"/>
      <c r="C40" s="60"/>
      <c r="D40" s="56"/>
      <c r="E40" s="56"/>
      <c r="F40" s="58"/>
      <c r="G40" s="58"/>
      <c r="H40" s="58"/>
      <c r="I40" s="58"/>
      <c r="J40" s="2"/>
      <c r="K40" s="3"/>
      <c r="L40" s="4"/>
      <c r="M40" s="5"/>
      <c r="N40" s="1">
        <f t="shared" si="4"/>
        <v>0</v>
      </c>
      <c r="O40" t="e">
        <f t="shared" ca="1" si="5"/>
        <v>#NAME?</v>
      </c>
      <c r="P40" t="str">
        <f t="shared" si="6"/>
        <v xml:space="preserve">, </v>
      </c>
      <c r="Q40">
        <f t="shared" si="3"/>
        <v>6</v>
      </c>
    </row>
    <row r="41" spans="1:17" ht="12.75" customHeight="1" thickBot="1" x14ac:dyDescent="0.45">
      <c r="A41" s="54"/>
      <c r="B41" s="54"/>
      <c r="C41" s="54"/>
      <c r="D41" s="56"/>
      <c r="E41" s="56"/>
      <c r="F41" s="58"/>
      <c r="G41" s="58"/>
      <c r="H41" s="58"/>
      <c r="I41" s="58"/>
      <c r="J41" s="2"/>
      <c r="K41" s="3"/>
      <c r="L41" s="4"/>
      <c r="M41" s="5"/>
      <c r="N41" s="1">
        <f t="shared" si="4"/>
        <v>0</v>
      </c>
      <c r="O41" t="e">
        <f t="shared" ca="1" si="5"/>
        <v>#NAME?</v>
      </c>
      <c r="P41" t="str">
        <f t="shared" si="6"/>
        <v xml:space="preserve">, </v>
      </c>
      <c r="Q41">
        <f t="shared" si="3"/>
        <v>6</v>
      </c>
    </row>
    <row r="42" spans="1:17" ht="13.5" customHeight="1" thickBot="1" x14ac:dyDescent="0.45">
      <c r="A42" s="54"/>
      <c r="B42" s="54"/>
      <c r="C42" s="54"/>
      <c r="D42" s="56"/>
      <c r="E42" s="56"/>
      <c r="F42" s="58"/>
      <c r="G42" s="58"/>
      <c r="H42" s="58"/>
      <c r="I42" s="58"/>
      <c r="J42" s="2"/>
      <c r="K42" s="3"/>
      <c r="L42" s="4"/>
      <c r="M42" s="5"/>
      <c r="N42" s="1">
        <f t="shared" si="4"/>
        <v>0</v>
      </c>
      <c r="O42" t="e">
        <f t="shared" ca="1" si="5"/>
        <v>#NAME?</v>
      </c>
      <c r="P42" t="str">
        <f t="shared" si="6"/>
        <v xml:space="preserve">, </v>
      </c>
      <c r="Q42">
        <f t="shared" si="3"/>
        <v>6</v>
      </c>
    </row>
    <row r="43" spans="1:17" ht="13.5" customHeight="1" thickBot="1" x14ac:dyDescent="0.45">
      <c r="A43" s="54"/>
      <c r="B43" s="54"/>
      <c r="C43" s="54"/>
      <c r="D43" s="56"/>
      <c r="E43" s="56"/>
      <c r="F43" s="58"/>
      <c r="G43" s="58"/>
      <c r="H43" s="58"/>
      <c r="I43" s="58"/>
      <c r="J43" s="2"/>
      <c r="K43" s="3"/>
      <c r="L43" s="4"/>
      <c r="M43" s="5"/>
      <c r="N43" s="1">
        <f t="shared" si="4"/>
        <v>0</v>
      </c>
      <c r="O43" t="e">
        <f t="shared" ca="1" si="5"/>
        <v>#NAME?</v>
      </c>
      <c r="P43" t="str">
        <f t="shared" si="6"/>
        <v xml:space="preserve">, </v>
      </c>
      <c r="Q43">
        <f t="shared" si="3"/>
        <v>6</v>
      </c>
    </row>
    <row r="44" spans="1:17" ht="13.5" customHeight="1" thickBot="1" x14ac:dyDescent="0.45">
      <c r="A44" s="54"/>
      <c r="B44" s="60"/>
      <c r="C44" s="60"/>
      <c r="D44" s="56"/>
      <c r="E44" s="56"/>
      <c r="F44" s="58"/>
      <c r="G44" s="58"/>
      <c r="H44" s="58"/>
      <c r="I44" s="58"/>
      <c r="J44" s="2"/>
      <c r="K44" s="3"/>
      <c r="L44" s="4"/>
      <c r="M44" s="5"/>
      <c r="N44" s="1">
        <f t="shared" si="4"/>
        <v>0</v>
      </c>
      <c r="O44" t="e">
        <f t="shared" ca="1" si="5"/>
        <v>#NAME?</v>
      </c>
      <c r="P44" t="str">
        <f t="shared" si="6"/>
        <v xml:space="preserve">, </v>
      </c>
      <c r="Q44">
        <f t="shared" si="3"/>
        <v>6</v>
      </c>
    </row>
    <row r="45" spans="1:17" ht="12.75" customHeight="1" thickBot="1" x14ac:dyDescent="0.45">
      <c r="A45" s="53"/>
      <c r="B45" s="59"/>
      <c r="C45" s="59"/>
      <c r="D45" s="55"/>
      <c r="E45" s="55"/>
      <c r="F45" s="57"/>
      <c r="G45" s="57"/>
      <c r="H45" s="57"/>
      <c r="I45" s="57"/>
      <c r="J45" s="2"/>
      <c r="K45" s="3"/>
      <c r="L45" s="4"/>
      <c r="M45" s="5"/>
      <c r="N45" s="1">
        <f t="shared" si="4"/>
        <v>0</v>
      </c>
      <c r="O45" t="e">
        <f t="shared" ca="1" si="5"/>
        <v>#NAME?</v>
      </c>
      <c r="P45" t="str">
        <f t="shared" si="6"/>
        <v xml:space="preserve">, </v>
      </c>
      <c r="Q45">
        <f t="shared" si="3"/>
        <v>6</v>
      </c>
    </row>
    <row r="46" spans="1:17" ht="12.75" customHeight="1" thickBot="1" x14ac:dyDescent="0.45">
      <c r="A46" s="54"/>
      <c r="B46" s="54"/>
      <c r="C46" s="54"/>
      <c r="D46" s="55"/>
      <c r="E46" s="55"/>
      <c r="F46" s="57"/>
      <c r="G46" s="57"/>
      <c r="H46" s="57"/>
      <c r="I46" s="57"/>
      <c r="J46" s="2"/>
      <c r="K46" s="3"/>
      <c r="L46" s="4"/>
      <c r="M46" s="5"/>
      <c r="N46" s="1">
        <f t="shared" si="4"/>
        <v>0</v>
      </c>
      <c r="O46" t="e">
        <f t="shared" ca="1" si="5"/>
        <v>#NAME?</v>
      </c>
      <c r="P46" t="str">
        <f t="shared" si="6"/>
        <v xml:space="preserve">, </v>
      </c>
      <c r="Q46">
        <f t="shared" si="3"/>
        <v>6</v>
      </c>
    </row>
    <row r="47" spans="1:17" ht="13.5" customHeight="1" thickBot="1" x14ac:dyDescent="0.45">
      <c r="A47" s="54"/>
      <c r="B47" s="54"/>
      <c r="C47" s="54"/>
      <c r="D47" s="56"/>
      <c r="E47" s="56"/>
      <c r="F47" s="58"/>
      <c r="G47" s="58"/>
      <c r="H47" s="58"/>
      <c r="I47" s="58"/>
      <c r="J47" s="2"/>
      <c r="K47" s="3"/>
      <c r="L47" s="4"/>
      <c r="M47" s="5"/>
      <c r="N47" s="1">
        <f t="shared" si="4"/>
        <v>0</v>
      </c>
      <c r="O47" t="e">
        <f t="shared" ca="1" si="5"/>
        <v>#NAME?</v>
      </c>
      <c r="P47" t="str">
        <f t="shared" si="6"/>
        <v xml:space="preserve">, </v>
      </c>
      <c r="Q47">
        <f t="shared" si="3"/>
        <v>6</v>
      </c>
    </row>
    <row r="48" spans="1:17" ht="13.5" customHeight="1" thickBot="1" x14ac:dyDescent="0.45">
      <c r="A48" s="54"/>
      <c r="B48" s="60"/>
      <c r="C48" s="60"/>
      <c r="D48" s="56"/>
      <c r="E48" s="56"/>
      <c r="F48" s="58"/>
      <c r="G48" s="58"/>
      <c r="H48" s="58"/>
      <c r="I48" s="58"/>
      <c r="J48" s="2"/>
      <c r="K48" s="3"/>
      <c r="L48" s="4"/>
      <c r="M48" s="5"/>
      <c r="N48" s="1">
        <f t="shared" si="4"/>
        <v>0</v>
      </c>
      <c r="O48" t="e">
        <f t="shared" ca="1" si="5"/>
        <v>#NAME?</v>
      </c>
      <c r="P48" t="str">
        <f t="shared" si="6"/>
        <v xml:space="preserve">, </v>
      </c>
      <c r="Q48">
        <f t="shared" si="3"/>
        <v>6</v>
      </c>
    </row>
    <row r="49" spans="1:17" ht="13.5" customHeight="1" thickBot="1" x14ac:dyDescent="0.45">
      <c r="A49" s="54"/>
      <c r="B49" s="54"/>
      <c r="C49" s="54"/>
      <c r="D49" s="56"/>
      <c r="E49" s="56"/>
      <c r="F49" s="58"/>
      <c r="G49" s="58"/>
      <c r="H49" s="58"/>
      <c r="I49" s="58"/>
      <c r="J49" s="2"/>
      <c r="K49" s="3"/>
      <c r="L49" s="4"/>
      <c r="M49" s="5"/>
      <c r="N49" s="1">
        <f t="shared" si="4"/>
        <v>0</v>
      </c>
      <c r="O49" t="e">
        <f t="shared" ca="1" si="5"/>
        <v>#NAME?</v>
      </c>
      <c r="P49" t="str">
        <f t="shared" si="6"/>
        <v xml:space="preserve">, </v>
      </c>
      <c r="Q49">
        <f t="shared" si="3"/>
        <v>6</v>
      </c>
    </row>
    <row r="50" spans="1:17" ht="13.5" customHeight="1" thickBot="1" x14ac:dyDescent="0.45">
      <c r="A50" s="54"/>
      <c r="B50" s="54"/>
      <c r="C50" s="54"/>
      <c r="D50" s="56"/>
      <c r="E50" s="56"/>
      <c r="F50" s="58"/>
      <c r="G50" s="58"/>
      <c r="H50" s="58"/>
      <c r="I50" s="58"/>
      <c r="J50" s="2"/>
      <c r="K50" s="3"/>
      <c r="L50" s="4"/>
      <c r="M50" s="5"/>
      <c r="N50" s="1">
        <f t="shared" si="4"/>
        <v>0</v>
      </c>
      <c r="O50" t="e">
        <f t="shared" ca="1" si="5"/>
        <v>#NAME?</v>
      </c>
      <c r="P50" t="str">
        <f t="shared" si="6"/>
        <v xml:space="preserve">, </v>
      </c>
      <c r="Q50">
        <f t="shared" si="3"/>
        <v>6</v>
      </c>
    </row>
    <row r="51" spans="1:17" ht="13.5" customHeight="1" thickBot="1" x14ac:dyDescent="0.45">
      <c r="A51" s="54"/>
      <c r="B51" s="60"/>
      <c r="C51" s="60"/>
      <c r="D51" s="56"/>
      <c r="E51" s="56"/>
      <c r="F51" s="58"/>
      <c r="G51" s="58"/>
      <c r="H51" s="58"/>
      <c r="I51" s="58"/>
      <c r="J51" s="2"/>
      <c r="K51" s="3"/>
      <c r="L51" s="4"/>
      <c r="M51" s="5"/>
      <c r="N51" s="1">
        <f t="shared" si="4"/>
        <v>0</v>
      </c>
      <c r="O51" t="e">
        <f t="shared" ca="1" si="5"/>
        <v>#NAME?</v>
      </c>
      <c r="P51" t="str">
        <f t="shared" si="6"/>
        <v xml:space="preserve">, </v>
      </c>
      <c r="Q51">
        <f t="shared" si="3"/>
        <v>6</v>
      </c>
    </row>
    <row r="52" spans="1:17" ht="12.75" customHeight="1" thickBot="1" x14ac:dyDescent="0.45">
      <c r="A52" s="54"/>
      <c r="B52" s="60"/>
      <c r="C52" s="60"/>
      <c r="D52" s="56"/>
      <c r="E52" s="56"/>
      <c r="F52" s="58"/>
      <c r="G52" s="58"/>
      <c r="H52" s="58"/>
      <c r="I52" s="58"/>
      <c r="J52" s="2"/>
      <c r="K52" s="3"/>
      <c r="L52" s="4"/>
      <c r="M52" s="5"/>
      <c r="N52" s="1">
        <f t="shared" si="4"/>
        <v>0</v>
      </c>
      <c r="O52" t="e">
        <f t="shared" ca="1" si="5"/>
        <v>#NAME?</v>
      </c>
      <c r="P52" t="str">
        <f t="shared" si="6"/>
        <v xml:space="preserve">, </v>
      </c>
      <c r="Q52">
        <f t="shared" si="3"/>
        <v>6</v>
      </c>
    </row>
    <row r="53" spans="1:17" ht="13.5" customHeight="1" thickBot="1" x14ac:dyDescent="0.45">
      <c r="A53" s="54"/>
      <c r="B53" s="54"/>
      <c r="C53" s="54"/>
      <c r="D53" s="56"/>
      <c r="E53" s="56"/>
      <c r="F53" s="58"/>
      <c r="G53" s="58"/>
      <c r="H53" s="58"/>
      <c r="I53" s="58"/>
      <c r="J53" s="2"/>
      <c r="K53" s="3"/>
      <c r="L53" s="4"/>
      <c r="M53" s="5"/>
      <c r="N53" s="1">
        <f t="shared" si="4"/>
        <v>0</v>
      </c>
      <c r="O53" t="e">
        <f t="shared" ca="1" si="5"/>
        <v>#NAME?</v>
      </c>
      <c r="P53" t="str">
        <f t="shared" si="6"/>
        <v xml:space="preserve">, </v>
      </c>
      <c r="Q53">
        <f t="shared" si="3"/>
        <v>6</v>
      </c>
    </row>
    <row r="54" spans="1:17" ht="13.5" customHeight="1" thickBot="1" x14ac:dyDescent="0.45">
      <c r="A54" s="53"/>
      <c r="B54" s="59"/>
      <c r="C54" s="59"/>
      <c r="D54" s="55"/>
      <c r="E54" s="55"/>
      <c r="F54" s="57"/>
      <c r="G54" s="57"/>
      <c r="H54" s="57"/>
      <c r="I54" s="57"/>
      <c r="J54" s="2"/>
      <c r="K54" s="3"/>
      <c r="L54" s="4"/>
      <c r="M54" s="5"/>
      <c r="N54" s="1">
        <f t="shared" si="4"/>
        <v>0</v>
      </c>
      <c r="O54" t="e">
        <f t="shared" ca="1" si="5"/>
        <v>#NAME?</v>
      </c>
      <c r="P54" t="str">
        <f t="shared" si="6"/>
        <v xml:space="preserve">, </v>
      </c>
      <c r="Q54">
        <f t="shared" si="3"/>
        <v>6</v>
      </c>
    </row>
    <row r="55" spans="1:17" ht="12.75" customHeight="1" thickBot="1" x14ac:dyDescent="0.45">
      <c r="A55" s="54"/>
      <c r="B55" s="60"/>
      <c r="C55" s="60"/>
      <c r="D55" s="56"/>
      <c r="E55" s="56"/>
      <c r="F55" s="58"/>
      <c r="G55" s="58"/>
      <c r="H55" s="58"/>
      <c r="I55" s="58"/>
      <c r="J55" s="2"/>
      <c r="K55" s="3"/>
      <c r="L55" s="4"/>
      <c r="M55" s="5"/>
      <c r="N55" s="1">
        <f t="shared" si="4"/>
        <v>0</v>
      </c>
      <c r="O55" t="e">
        <f t="shared" ca="1" si="5"/>
        <v>#NAME?</v>
      </c>
      <c r="P55" t="str">
        <f t="shared" si="6"/>
        <v xml:space="preserve">, </v>
      </c>
      <c r="Q55">
        <f t="shared" si="3"/>
        <v>6</v>
      </c>
    </row>
    <row r="56" spans="1:17" ht="13.5" customHeight="1" thickBot="1" x14ac:dyDescent="0.45">
      <c r="A56" s="54"/>
      <c r="B56" s="60"/>
      <c r="C56" s="60"/>
      <c r="D56" s="55"/>
      <c r="E56" s="55"/>
      <c r="F56" s="57"/>
      <c r="G56" s="57"/>
      <c r="H56" s="57"/>
      <c r="I56" s="57"/>
      <c r="J56" s="2"/>
      <c r="K56" s="3"/>
      <c r="L56" s="4"/>
      <c r="M56" s="5"/>
      <c r="N56" s="1">
        <f t="shared" si="4"/>
        <v>0</v>
      </c>
      <c r="O56" t="e">
        <f t="shared" ca="1" si="5"/>
        <v>#NAME?</v>
      </c>
      <c r="P56" t="str">
        <f t="shared" si="6"/>
        <v xml:space="preserve">, </v>
      </c>
      <c r="Q56">
        <f t="shared" si="3"/>
        <v>6</v>
      </c>
    </row>
    <row r="57" spans="1:17" ht="12.75" customHeight="1" thickBot="1" x14ac:dyDescent="0.45">
      <c r="A57" s="54"/>
      <c r="B57" s="60"/>
      <c r="C57" s="60"/>
      <c r="D57" s="55"/>
      <c r="E57" s="55"/>
      <c r="F57" s="57"/>
      <c r="G57" s="57"/>
      <c r="H57" s="57"/>
      <c r="I57" s="57"/>
      <c r="J57" s="2"/>
      <c r="K57" s="3"/>
      <c r="L57" s="4"/>
      <c r="M57" s="5"/>
      <c r="N57" s="1">
        <f t="shared" si="4"/>
        <v>0</v>
      </c>
      <c r="O57" t="e">
        <f t="shared" ca="1" si="5"/>
        <v>#NAME?</v>
      </c>
      <c r="P57" t="str">
        <f t="shared" si="6"/>
        <v xml:space="preserve">, </v>
      </c>
      <c r="Q57">
        <f t="shared" si="3"/>
        <v>6</v>
      </c>
    </row>
    <row r="58" spans="1:17" ht="13.5" customHeight="1" thickBot="1" x14ac:dyDescent="0.45">
      <c r="A58" s="54"/>
      <c r="B58" s="60"/>
      <c r="C58" s="60"/>
      <c r="D58" s="56"/>
      <c r="E58" s="56"/>
      <c r="F58" s="58"/>
      <c r="G58" s="58"/>
      <c r="H58" s="58"/>
      <c r="I58" s="58"/>
      <c r="J58" s="2"/>
      <c r="K58" s="3"/>
      <c r="L58" s="4"/>
      <c r="M58" s="5"/>
      <c r="N58" s="1">
        <f t="shared" si="4"/>
        <v>0</v>
      </c>
      <c r="O58" t="e">
        <f t="shared" ca="1" si="5"/>
        <v>#NAME?</v>
      </c>
      <c r="P58" t="str">
        <f t="shared" si="6"/>
        <v xml:space="preserve">, </v>
      </c>
      <c r="Q58">
        <f t="shared" si="3"/>
        <v>6</v>
      </c>
    </row>
    <row r="59" spans="1:17" ht="12.75" customHeight="1" thickBot="1" x14ac:dyDescent="0.45">
      <c r="A59" s="54"/>
      <c r="B59" s="54"/>
      <c r="C59" s="54"/>
      <c r="D59" s="56"/>
      <c r="E59" s="56"/>
      <c r="F59" s="58"/>
      <c r="G59" s="58"/>
      <c r="H59" s="58"/>
      <c r="I59" s="58"/>
      <c r="J59" s="2"/>
      <c r="K59" s="3"/>
      <c r="L59" s="4"/>
      <c r="M59" s="5"/>
      <c r="N59" s="1">
        <f t="shared" si="4"/>
        <v>0</v>
      </c>
      <c r="O59" t="e">
        <f t="shared" ca="1" si="5"/>
        <v>#NAME?</v>
      </c>
      <c r="P59" t="str">
        <f t="shared" si="6"/>
        <v xml:space="preserve">, </v>
      </c>
      <c r="Q59">
        <f t="shared" si="3"/>
        <v>6</v>
      </c>
    </row>
    <row r="60" spans="1:17" ht="13.5" customHeight="1" thickBot="1" x14ac:dyDescent="0.45">
      <c r="A60" s="54"/>
      <c r="B60" s="54"/>
      <c r="C60" s="54"/>
      <c r="D60" s="56"/>
      <c r="E60" s="56"/>
      <c r="F60" s="58"/>
      <c r="G60" s="58"/>
      <c r="H60" s="58"/>
      <c r="I60" s="58"/>
      <c r="J60" s="21"/>
      <c r="K60" s="23"/>
      <c r="L60" s="24"/>
      <c r="M60" s="22"/>
      <c r="N60" s="1">
        <f t="shared" si="4"/>
        <v>0</v>
      </c>
      <c r="O60" t="e">
        <f t="shared" ca="1" si="5"/>
        <v>#NAME?</v>
      </c>
      <c r="P60" t="str">
        <f t="shared" si="6"/>
        <v xml:space="preserve">, </v>
      </c>
      <c r="Q60">
        <f t="shared" si="3"/>
        <v>6</v>
      </c>
    </row>
    <row r="61" spans="1:17" ht="13.5" customHeight="1" thickBot="1" x14ac:dyDescent="0.45">
      <c r="A61" s="54"/>
      <c r="B61" s="54"/>
      <c r="C61" s="54"/>
      <c r="D61" s="56"/>
      <c r="E61" s="56"/>
      <c r="F61" s="58"/>
      <c r="G61" s="58"/>
      <c r="H61" s="58"/>
      <c r="I61" s="58"/>
      <c r="J61" s="2"/>
      <c r="K61" s="3"/>
      <c r="L61" s="4"/>
      <c r="M61" s="5"/>
      <c r="N61" s="1">
        <f t="shared" si="4"/>
        <v>0</v>
      </c>
      <c r="O61" t="e">
        <f t="shared" ca="1" si="5"/>
        <v>#NAME?</v>
      </c>
      <c r="P61" t="str">
        <f t="shared" si="6"/>
        <v xml:space="preserve">, </v>
      </c>
      <c r="Q61">
        <f t="shared" si="3"/>
        <v>6</v>
      </c>
    </row>
    <row r="62" spans="1:17" ht="13.5" customHeight="1" thickBot="1" x14ac:dyDescent="0.45">
      <c r="A62" s="53"/>
      <c r="B62" s="53"/>
      <c r="C62" s="53"/>
      <c r="D62" s="55"/>
      <c r="E62" s="55"/>
      <c r="F62" s="57"/>
      <c r="G62" s="57"/>
      <c r="H62" s="57"/>
      <c r="I62" s="57"/>
      <c r="J62" s="2"/>
      <c r="K62" s="3"/>
      <c r="L62" s="4"/>
      <c r="M62" s="5"/>
      <c r="N62" s="1">
        <f t="shared" si="4"/>
        <v>0</v>
      </c>
      <c r="O62" t="e">
        <f t="shared" ca="1" si="5"/>
        <v>#NAME?</v>
      </c>
      <c r="P62" t="str">
        <f t="shared" si="6"/>
        <v xml:space="preserve">, </v>
      </c>
      <c r="Q62">
        <f t="shared" si="3"/>
        <v>6</v>
      </c>
    </row>
    <row r="63" spans="1:17" ht="12.75" customHeight="1" thickBot="1" x14ac:dyDescent="0.45">
      <c r="A63" s="54"/>
      <c r="B63" s="54"/>
      <c r="C63" s="54"/>
      <c r="D63" s="55"/>
      <c r="E63" s="55"/>
      <c r="F63" s="57"/>
      <c r="G63" s="57"/>
      <c r="H63" s="57"/>
      <c r="I63" s="57"/>
      <c r="J63" s="2"/>
      <c r="K63" s="3"/>
      <c r="L63" s="4"/>
      <c r="M63" s="5"/>
      <c r="N63" s="1">
        <f t="shared" si="4"/>
        <v>0</v>
      </c>
      <c r="O63" t="e">
        <f t="shared" ca="1" si="5"/>
        <v>#NAME?</v>
      </c>
      <c r="P63" t="str">
        <f t="shared" si="6"/>
        <v xml:space="preserve">, </v>
      </c>
      <c r="Q63">
        <f t="shared" si="3"/>
        <v>6</v>
      </c>
    </row>
    <row r="64" spans="1:17" ht="12.75" customHeight="1" thickBot="1" x14ac:dyDescent="0.45">
      <c r="A64" s="54"/>
      <c r="B64" s="54"/>
      <c r="C64" s="54"/>
      <c r="D64" s="56"/>
      <c r="E64" s="56"/>
      <c r="F64" s="58"/>
      <c r="G64" s="58"/>
      <c r="H64" s="58"/>
      <c r="I64" s="58"/>
      <c r="J64" s="2"/>
      <c r="K64" s="3"/>
      <c r="L64" s="4"/>
      <c r="M64" s="5"/>
      <c r="N64" s="1">
        <f t="shared" si="4"/>
        <v>0</v>
      </c>
      <c r="O64" t="e">
        <f t="shared" ca="1" si="5"/>
        <v>#NAME?</v>
      </c>
      <c r="P64" t="str">
        <f t="shared" si="6"/>
        <v xml:space="preserve">, </v>
      </c>
      <c r="Q64">
        <f t="shared" si="3"/>
        <v>6</v>
      </c>
    </row>
    <row r="65" spans="1:17" ht="12.75" customHeight="1" thickBot="1" x14ac:dyDescent="0.45">
      <c r="A65" s="54"/>
      <c r="B65" s="60"/>
      <c r="C65" s="60"/>
      <c r="D65" s="56"/>
      <c r="E65" s="56"/>
      <c r="F65" s="58"/>
      <c r="G65" s="58"/>
      <c r="H65" s="58"/>
      <c r="I65" s="58"/>
      <c r="J65" s="2"/>
      <c r="K65" s="3"/>
      <c r="L65" s="4"/>
      <c r="M65" s="5"/>
      <c r="N65" s="1">
        <f t="shared" si="4"/>
        <v>0</v>
      </c>
      <c r="O65" t="e">
        <f t="shared" ca="1" si="5"/>
        <v>#NAME?</v>
      </c>
      <c r="P65" t="str">
        <f t="shared" si="6"/>
        <v xml:space="preserve">, </v>
      </c>
      <c r="Q65">
        <f t="shared" si="3"/>
        <v>6</v>
      </c>
    </row>
    <row r="66" spans="1:17" ht="13.5" customHeight="1" thickBot="1" x14ac:dyDescent="0.45">
      <c r="A66" s="54"/>
      <c r="B66" s="54"/>
      <c r="C66" s="54"/>
      <c r="D66" s="56"/>
      <c r="E66" s="56"/>
      <c r="F66" s="58"/>
      <c r="G66" s="58"/>
      <c r="H66" s="58"/>
      <c r="I66" s="58"/>
      <c r="J66" s="2"/>
      <c r="K66" s="3"/>
      <c r="L66" s="4"/>
      <c r="M66" s="5"/>
      <c r="N66" s="1">
        <f t="shared" ref="N66:N129" si="7">4-COUNTBLANK(J66:M66)</f>
        <v>0</v>
      </c>
      <c r="O66" t="e">
        <f t="shared" ref="O66:O97" ca="1" si="8">CheckDuplicateActivities(D66:I66, J66:M66)</f>
        <v>#NAME?</v>
      </c>
      <c r="P66" t="str">
        <f t="shared" ref="P66:P97" si="9">CONCATENATE(A66,", ",B66)</f>
        <v xml:space="preserve">, </v>
      </c>
      <c r="Q66">
        <f t="shared" si="3"/>
        <v>6</v>
      </c>
    </row>
    <row r="67" spans="1:17" ht="13.5" customHeight="1" thickBot="1" x14ac:dyDescent="0.45">
      <c r="A67" s="54"/>
      <c r="B67" s="60"/>
      <c r="C67" s="60"/>
      <c r="D67" s="55"/>
      <c r="E67" s="55"/>
      <c r="F67" s="57"/>
      <c r="G67" s="57"/>
      <c r="H67" s="57"/>
      <c r="I67" s="57"/>
      <c r="J67" s="2"/>
      <c r="K67" s="3"/>
      <c r="L67" s="4"/>
      <c r="M67" s="5"/>
      <c r="N67" s="1">
        <f t="shared" si="7"/>
        <v>0</v>
      </c>
      <c r="O67" t="e">
        <f t="shared" ca="1" si="8"/>
        <v>#NAME?</v>
      </c>
      <c r="P67" t="str">
        <f t="shared" si="9"/>
        <v xml:space="preserve">, </v>
      </c>
      <c r="Q67">
        <f t="shared" ref="Q67:Q130" si="10">COUNTBLANK(D67:I67)</f>
        <v>6</v>
      </c>
    </row>
    <row r="68" spans="1:17" ht="13.5" customHeight="1" thickBot="1" x14ac:dyDescent="0.45">
      <c r="A68" s="54"/>
      <c r="B68" s="60"/>
      <c r="C68" s="60"/>
      <c r="D68" s="55"/>
      <c r="E68" s="55"/>
      <c r="F68" s="57"/>
      <c r="G68" s="57"/>
      <c r="H68" s="57"/>
      <c r="I68" s="57"/>
      <c r="J68" s="2"/>
      <c r="K68" s="3"/>
      <c r="L68" s="4"/>
      <c r="M68" s="5"/>
      <c r="N68" s="1">
        <f t="shared" si="7"/>
        <v>0</v>
      </c>
      <c r="O68" t="e">
        <f t="shared" ca="1" si="8"/>
        <v>#NAME?</v>
      </c>
      <c r="P68" t="str">
        <f t="shared" si="9"/>
        <v xml:space="preserve">, </v>
      </c>
      <c r="Q68">
        <f t="shared" si="10"/>
        <v>6</v>
      </c>
    </row>
    <row r="69" spans="1:17" ht="12.75" customHeight="1" thickBot="1" x14ac:dyDescent="0.45">
      <c r="A69" s="54"/>
      <c r="B69" s="60"/>
      <c r="C69" s="60"/>
      <c r="D69" s="56"/>
      <c r="E69" s="56"/>
      <c r="F69" s="58"/>
      <c r="G69" s="58"/>
      <c r="H69" s="58"/>
      <c r="I69" s="58"/>
      <c r="J69" s="2"/>
      <c r="K69" s="3"/>
      <c r="L69" s="4"/>
      <c r="M69" s="5"/>
      <c r="N69" s="1">
        <f t="shared" si="7"/>
        <v>0</v>
      </c>
      <c r="O69" t="e">
        <f t="shared" ca="1" si="8"/>
        <v>#NAME?</v>
      </c>
      <c r="P69" t="str">
        <f t="shared" si="9"/>
        <v xml:space="preserve">, </v>
      </c>
      <c r="Q69">
        <f t="shared" si="10"/>
        <v>6</v>
      </c>
    </row>
    <row r="70" spans="1:17" ht="12.75" customHeight="1" thickBot="1" x14ac:dyDescent="0.45">
      <c r="A70" s="54"/>
      <c r="B70" s="60"/>
      <c r="C70" s="60"/>
      <c r="D70" s="56"/>
      <c r="E70" s="56"/>
      <c r="F70" s="58"/>
      <c r="G70" s="58"/>
      <c r="H70" s="58"/>
      <c r="I70" s="58"/>
      <c r="J70" s="2"/>
      <c r="K70" s="3"/>
      <c r="L70" s="4"/>
      <c r="M70" s="5"/>
      <c r="N70" s="1">
        <f t="shared" si="7"/>
        <v>0</v>
      </c>
      <c r="O70" t="e">
        <f t="shared" ca="1" si="8"/>
        <v>#NAME?</v>
      </c>
      <c r="P70" t="str">
        <f t="shared" si="9"/>
        <v xml:space="preserve">, </v>
      </c>
      <c r="Q70">
        <f t="shared" si="10"/>
        <v>6</v>
      </c>
    </row>
    <row r="71" spans="1:17" ht="13.5" customHeight="1" thickBot="1" x14ac:dyDescent="0.45">
      <c r="A71" s="53"/>
      <c r="B71" s="53"/>
      <c r="C71" s="53"/>
      <c r="D71" s="55"/>
      <c r="E71" s="55"/>
      <c r="F71" s="57"/>
      <c r="G71" s="57"/>
      <c r="H71" s="57"/>
      <c r="I71" s="57"/>
      <c r="J71" s="2"/>
      <c r="K71" s="3"/>
      <c r="L71" s="4"/>
      <c r="M71" s="5"/>
      <c r="N71" s="1">
        <f t="shared" si="7"/>
        <v>0</v>
      </c>
      <c r="O71" t="e">
        <f t="shared" ca="1" si="8"/>
        <v>#NAME?</v>
      </c>
      <c r="P71" t="str">
        <f t="shared" si="9"/>
        <v xml:space="preserve">, </v>
      </c>
      <c r="Q71">
        <f t="shared" si="10"/>
        <v>6</v>
      </c>
    </row>
    <row r="72" spans="1:17" ht="13.5" customHeight="1" thickBot="1" x14ac:dyDescent="0.45">
      <c r="A72" s="54"/>
      <c r="B72" s="54"/>
      <c r="C72" s="54"/>
      <c r="D72" s="55"/>
      <c r="E72" s="55"/>
      <c r="F72" s="57"/>
      <c r="G72" s="57"/>
      <c r="H72" s="57"/>
      <c r="I72" s="57"/>
      <c r="J72" s="2"/>
      <c r="K72" s="3"/>
      <c r="L72" s="4"/>
      <c r="M72" s="5"/>
      <c r="N72" s="1">
        <f t="shared" si="7"/>
        <v>0</v>
      </c>
      <c r="O72" t="e">
        <f t="shared" ca="1" si="8"/>
        <v>#NAME?</v>
      </c>
      <c r="P72" t="str">
        <f t="shared" si="9"/>
        <v xml:space="preserve">, </v>
      </c>
      <c r="Q72">
        <f t="shared" si="10"/>
        <v>6</v>
      </c>
    </row>
    <row r="73" spans="1:17" ht="12.75" customHeight="1" thickBot="1" x14ac:dyDescent="0.45">
      <c r="A73" s="54"/>
      <c r="B73" s="54"/>
      <c r="C73" s="54"/>
      <c r="D73" s="56"/>
      <c r="E73" s="56"/>
      <c r="F73" s="58"/>
      <c r="G73" s="58"/>
      <c r="H73" s="58"/>
      <c r="I73" s="58"/>
      <c r="J73" s="2"/>
      <c r="K73" s="3"/>
      <c r="L73" s="4"/>
      <c r="M73" s="5"/>
      <c r="N73" s="1">
        <f t="shared" si="7"/>
        <v>0</v>
      </c>
      <c r="O73" t="e">
        <f t="shared" ca="1" si="8"/>
        <v>#NAME?</v>
      </c>
      <c r="P73" t="str">
        <f t="shared" si="9"/>
        <v xml:space="preserve">, </v>
      </c>
      <c r="Q73">
        <f t="shared" si="10"/>
        <v>6</v>
      </c>
    </row>
    <row r="74" spans="1:17" ht="13.5" customHeight="1" thickBot="1" x14ac:dyDescent="0.45">
      <c r="A74" s="54"/>
      <c r="B74" s="60"/>
      <c r="C74" s="60"/>
      <c r="D74" s="56"/>
      <c r="E74" s="56"/>
      <c r="F74" s="58"/>
      <c r="G74" s="58"/>
      <c r="H74" s="58"/>
      <c r="I74" s="58"/>
      <c r="J74" s="2"/>
      <c r="K74" s="3"/>
      <c r="L74" s="4"/>
      <c r="M74" s="5"/>
      <c r="N74" s="1">
        <f t="shared" si="7"/>
        <v>0</v>
      </c>
      <c r="O74" t="e">
        <f t="shared" ca="1" si="8"/>
        <v>#NAME?</v>
      </c>
      <c r="P74" t="str">
        <f t="shared" si="9"/>
        <v xml:space="preserve">, </v>
      </c>
      <c r="Q74">
        <f t="shared" si="10"/>
        <v>6</v>
      </c>
    </row>
    <row r="75" spans="1:17" ht="13.5" customHeight="1" thickBot="1" x14ac:dyDescent="0.45">
      <c r="A75" s="54"/>
      <c r="B75" s="60"/>
      <c r="C75" s="60"/>
      <c r="D75" s="56"/>
      <c r="E75" s="56"/>
      <c r="F75" s="58"/>
      <c r="G75" s="58"/>
      <c r="H75" s="58"/>
      <c r="I75" s="58"/>
      <c r="J75" s="2"/>
      <c r="K75" s="3"/>
      <c r="L75" s="4"/>
      <c r="M75" s="5"/>
      <c r="N75" s="1">
        <f t="shared" si="7"/>
        <v>0</v>
      </c>
      <c r="O75" t="e">
        <f t="shared" ca="1" si="8"/>
        <v>#NAME?</v>
      </c>
      <c r="P75" t="str">
        <f t="shared" si="9"/>
        <v xml:space="preserve">, </v>
      </c>
      <c r="Q75">
        <f t="shared" si="10"/>
        <v>6</v>
      </c>
    </row>
    <row r="76" spans="1:17" ht="13.5" customHeight="1" thickBot="1" x14ac:dyDescent="0.45">
      <c r="A76" s="54"/>
      <c r="B76" s="60"/>
      <c r="C76" s="60"/>
      <c r="D76" s="56"/>
      <c r="E76" s="56"/>
      <c r="F76" s="58"/>
      <c r="G76" s="58"/>
      <c r="H76" s="58"/>
      <c r="I76" s="58"/>
      <c r="J76" s="2"/>
      <c r="K76" s="3"/>
      <c r="L76" s="4"/>
      <c r="M76" s="5"/>
      <c r="N76" s="1">
        <f t="shared" si="7"/>
        <v>0</v>
      </c>
      <c r="O76" t="e">
        <f t="shared" ca="1" si="8"/>
        <v>#NAME?</v>
      </c>
      <c r="P76" t="str">
        <f t="shared" si="9"/>
        <v xml:space="preserve">, </v>
      </c>
      <c r="Q76">
        <f t="shared" si="10"/>
        <v>6</v>
      </c>
    </row>
    <row r="77" spans="1:17" ht="12.75" customHeight="1" thickBot="1" x14ac:dyDescent="0.45">
      <c r="A77" s="54"/>
      <c r="B77" s="54"/>
      <c r="C77" s="54"/>
      <c r="D77" s="56"/>
      <c r="E77" s="56"/>
      <c r="F77" s="58"/>
      <c r="G77" s="58"/>
      <c r="H77" s="58"/>
      <c r="I77" s="58"/>
      <c r="J77" s="2"/>
      <c r="K77" s="3"/>
      <c r="L77" s="4"/>
      <c r="M77" s="5"/>
      <c r="N77" s="1">
        <f t="shared" si="7"/>
        <v>0</v>
      </c>
      <c r="O77" t="e">
        <f t="shared" ca="1" si="8"/>
        <v>#NAME?</v>
      </c>
      <c r="P77" t="str">
        <f t="shared" si="9"/>
        <v xml:space="preserve">, </v>
      </c>
      <c r="Q77">
        <f t="shared" si="10"/>
        <v>6</v>
      </c>
    </row>
    <row r="78" spans="1:17" ht="12.75" customHeight="1" thickBot="1" x14ac:dyDescent="0.45">
      <c r="A78" s="54"/>
      <c r="B78" s="54"/>
      <c r="C78" s="54"/>
      <c r="D78" s="55"/>
      <c r="E78" s="55"/>
      <c r="F78" s="57"/>
      <c r="G78" s="57"/>
      <c r="H78" s="57"/>
      <c r="I78" s="57"/>
      <c r="J78" s="2"/>
      <c r="K78" s="3"/>
      <c r="L78" s="4"/>
      <c r="M78" s="5"/>
      <c r="N78" s="1">
        <f t="shared" si="7"/>
        <v>0</v>
      </c>
      <c r="O78" t="e">
        <f t="shared" ca="1" si="8"/>
        <v>#NAME?</v>
      </c>
      <c r="P78" t="str">
        <f t="shared" si="9"/>
        <v xml:space="preserve">, </v>
      </c>
      <c r="Q78">
        <f t="shared" si="10"/>
        <v>6</v>
      </c>
    </row>
    <row r="79" spans="1:17" ht="13.5" customHeight="1" thickBot="1" x14ac:dyDescent="0.45">
      <c r="A79" s="54"/>
      <c r="B79" s="54"/>
      <c r="C79" s="54"/>
      <c r="D79" s="55"/>
      <c r="E79" s="55"/>
      <c r="F79" s="57"/>
      <c r="G79" s="57"/>
      <c r="H79" s="57"/>
      <c r="I79" s="57"/>
      <c r="J79" s="2"/>
      <c r="K79" s="3"/>
      <c r="L79" s="4"/>
      <c r="M79" s="5"/>
      <c r="N79" s="1">
        <f t="shared" si="7"/>
        <v>0</v>
      </c>
      <c r="O79" t="e">
        <f t="shared" ca="1" si="8"/>
        <v>#NAME?</v>
      </c>
      <c r="P79" t="str">
        <f t="shared" si="9"/>
        <v xml:space="preserve">, </v>
      </c>
      <c r="Q79">
        <f t="shared" si="10"/>
        <v>6</v>
      </c>
    </row>
    <row r="80" spans="1:17" ht="12.75" customHeight="1" thickBot="1" x14ac:dyDescent="0.45">
      <c r="A80" s="53"/>
      <c r="B80" s="53"/>
      <c r="C80" s="53"/>
      <c r="D80" s="55"/>
      <c r="E80" s="55"/>
      <c r="F80" s="57"/>
      <c r="G80" s="57"/>
      <c r="H80" s="57"/>
      <c r="I80" s="57"/>
      <c r="J80" s="2"/>
      <c r="K80" s="3"/>
      <c r="L80" s="4"/>
      <c r="M80" s="5"/>
      <c r="N80" s="1">
        <f t="shared" si="7"/>
        <v>0</v>
      </c>
      <c r="O80" t="e">
        <f t="shared" ca="1" si="8"/>
        <v>#NAME?</v>
      </c>
      <c r="P80" t="str">
        <f t="shared" si="9"/>
        <v xml:space="preserve">, </v>
      </c>
      <c r="Q80">
        <f t="shared" si="10"/>
        <v>6</v>
      </c>
    </row>
    <row r="81" spans="1:17" s="31" customFormat="1" ht="13.5" customHeight="1" thickBot="1" x14ac:dyDescent="0.45">
      <c r="A81" s="54"/>
      <c r="B81" s="60"/>
      <c r="C81" s="60"/>
      <c r="D81" s="55"/>
      <c r="E81" s="55"/>
      <c r="F81" s="57"/>
      <c r="G81" s="57"/>
      <c r="H81" s="57"/>
      <c r="I81" s="57"/>
      <c r="J81" s="21"/>
      <c r="K81" s="23"/>
      <c r="L81" s="24"/>
      <c r="M81" s="22"/>
      <c r="N81" s="1">
        <f t="shared" si="7"/>
        <v>0</v>
      </c>
      <c r="O81" t="e">
        <f t="shared" ca="1" si="8"/>
        <v>#NAME?</v>
      </c>
      <c r="P81" t="str">
        <f t="shared" si="9"/>
        <v xml:space="preserve">, </v>
      </c>
      <c r="Q81">
        <f t="shared" si="10"/>
        <v>6</v>
      </c>
    </row>
    <row r="82" spans="1:17" s="31" customFormat="1" ht="13.5" customHeight="1" thickBot="1" x14ac:dyDescent="0.45">
      <c r="A82" s="54"/>
      <c r="B82" s="54"/>
      <c r="C82" s="54"/>
      <c r="D82" s="56"/>
      <c r="E82" s="56"/>
      <c r="F82" s="58"/>
      <c r="G82" s="58"/>
      <c r="H82" s="58"/>
      <c r="I82" s="58"/>
      <c r="J82" s="21"/>
      <c r="K82" s="23"/>
      <c r="L82" s="24"/>
      <c r="M82" s="22"/>
      <c r="N82" s="1">
        <f t="shared" si="7"/>
        <v>0</v>
      </c>
      <c r="O82" t="e">
        <f t="shared" ca="1" si="8"/>
        <v>#NAME?</v>
      </c>
      <c r="P82" t="str">
        <f t="shared" si="9"/>
        <v xml:space="preserve">, </v>
      </c>
      <c r="Q82">
        <f t="shared" si="10"/>
        <v>6</v>
      </c>
    </row>
    <row r="83" spans="1:17" s="31" customFormat="1" ht="13.5" customHeight="1" thickBot="1" x14ac:dyDescent="0.45">
      <c r="A83" s="54"/>
      <c r="B83" s="54"/>
      <c r="C83" s="54"/>
      <c r="D83" s="56"/>
      <c r="E83" s="56"/>
      <c r="F83" s="58"/>
      <c r="G83" s="58"/>
      <c r="H83" s="58"/>
      <c r="I83" s="58"/>
      <c r="J83" s="21"/>
      <c r="K83" s="23"/>
      <c r="L83" s="24"/>
      <c r="M83" s="22"/>
      <c r="N83" s="1">
        <f t="shared" si="7"/>
        <v>0</v>
      </c>
      <c r="O83" t="e">
        <f t="shared" ca="1" si="8"/>
        <v>#NAME?</v>
      </c>
      <c r="P83" t="str">
        <f t="shared" si="9"/>
        <v xml:space="preserve">, </v>
      </c>
      <c r="Q83">
        <f t="shared" si="10"/>
        <v>6</v>
      </c>
    </row>
    <row r="84" spans="1:17" s="31" customFormat="1" ht="12.75" customHeight="1" thickBot="1" x14ac:dyDescent="0.45">
      <c r="A84" s="54"/>
      <c r="B84" s="54"/>
      <c r="C84" s="54"/>
      <c r="D84" s="56"/>
      <c r="E84" s="56"/>
      <c r="F84" s="58"/>
      <c r="G84" s="58"/>
      <c r="H84" s="58"/>
      <c r="I84" s="58"/>
      <c r="J84" s="21"/>
      <c r="K84" s="23"/>
      <c r="L84" s="24"/>
      <c r="M84" s="22"/>
      <c r="N84" s="1">
        <f t="shared" si="7"/>
        <v>0</v>
      </c>
      <c r="O84" t="e">
        <f t="shared" ca="1" si="8"/>
        <v>#NAME?</v>
      </c>
      <c r="P84" t="str">
        <f t="shared" si="9"/>
        <v xml:space="preserve">, </v>
      </c>
      <c r="Q84">
        <f t="shared" si="10"/>
        <v>6</v>
      </c>
    </row>
    <row r="85" spans="1:17" s="31" customFormat="1" ht="12.75" customHeight="1" thickBot="1" x14ac:dyDescent="0.45">
      <c r="A85" s="54"/>
      <c r="B85" s="60"/>
      <c r="C85" s="60"/>
      <c r="D85" s="56"/>
      <c r="E85" s="56"/>
      <c r="F85" s="58"/>
      <c r="G85" s="58"/>
      <c r="H85" s="58"/>
      <c r="I85" s="58"/>
      <c r="J85" s="21"/>
      <c r="K85" s="23"/>
      <c r="L85" s="24"/>
      <c r="M85" s="22"/>
      <c r="N85" s="1">
        <f t="shared" si="7"/>
        <v>0</v>
      </c>
      <c r="O85" t="e">
        <f t="shared" ca="1" si="8"/>
        <v>#NAME?</v>
      </c>
      <c r="P85" t="str">
        <f t="shared" si="9"/>
        <v xml:space="preserve">, </v>
      </c>
      <c r="Q85">
        <f t="shared" si="10"/>
        <v>6</v>
      </c>
    </row>
    <row r="86" spans="1:17" s="31" customFormat="1" ht="13.5" customHeight="1" thickBot="1" x14ac:dyDescent="0.45">
      <c r="A86" s="54"/>
      <c r="B86" s="54"/>
      <c r="C86" s="54"/>
      <c r="D86" s="56"/>
      <c r="E86" s="56"/>
      <c r="F86" s="58"/>
      <c r="G86" s="58"/>
      <c r="H86" s="58"/>
      <c r="I86" s="58"/>
      <c r="J86" s="21"/>
      <c r="K86" s="23"/>
      <c r="L86" s="24"/>
      <c r="M86" s="22"/>
      <c r="N86" s="1">
        <f t="shared" si="7"/>
        <v>0</v>
      </c>
      <c r="O86" t="e">
        <f t="shared" ca="1" si="8"/>
        <v>#NAME?</v>
      </c>
      <c r="P86" t="str">
        <f t="shared" si="9"/>
        <v xml:space="preserve">, </v>
      </c>
      <c r="Q86">
        <f t="shared" si="10"/>
        <v>6</v>
      </c>
    </row>
    <row r="87" spans="1:17" s="31" customFormat="1" ht="12.75" customHeight="1" thickBot="1" x14ac:dyDescent="0.45">
      <c r="A87" s="54"/>
      <c r="B87" s="54"/>
      <c r="C87" s="54"/>
      <c r="D87" s="56"/>
      <c r="E87" s="56"/>
      <c r="F87" s="58"/>
      <c r="G87" s="58"/>
      <c r="H87" s="58"/>
      <c r="I87" s="58"/>
      <c r="J87" s="21"/>
      <c r="K87" s="23"/>
      <c r="L87" s="24"/>
      <c r="M87" s="22"/>
      <c r="N87" s="1">
        <f t="shared" si="7"/>
        <v>0</v>
      </c>
      <c r="O87" t="e">
        <f t="shared" ca="1" si="8"/>
        <v>#NAME?</v>
      </c>
      <c r="P87" t="str">
        <f t="shared" si="9"/>
        <v xml:space="preserve">, </v>
      </c>
      <c r="Q87">
        <f t="shared" si="10"/>
        <v>6</v>
      </c>
    </row>
    <row r="88" spans="1:17" s="31" customFormat="1" ht="12.75" customHeight="1" thickBot="1" x14ac:dyDescent="0.45">
      <c r="A88" s="54"/>
      <c r="B88" s="54"/>
      <c r="C88" s="54"/>
      <c r="D88" s="56"/>
      <c r="E88" s="56"/>
      <c r="F88" s="58"/>
      <c r="G88" s="58"/>
      <c r="H88" s="58"/>
      <c r="I88" s="58"/>
      <c r="J88" s="21"/>
      <c r="K88" s="23"/>
      <c r="L88" s="24"/>
      <c r="M88" s="22"/>
      <c r="N88" s="1">
        <f t="shared" si="7"/>
        <v>0</v>
      </c>
      <c r="O88" t="e">
        <f t="shared" ca="1" si="8"/>
        <v>#NAME?</v>
      </c>
      <c r="P88" t="str">
        <f t="shared" si="9"/>
        <v xml:space="preserve">, </v>
      </c>
      <c r="Q88">
        <f t="shared" si="10"/>
        <v>6</v>
      </c>
    </row>
    <row r="89" spans="1:17" s="31" customFormat="1" ht="13.5" customHeight="1" thickBot="1" x14ac:dyDescent="0.45">
      <c r="A89" s="53"/>
      <c r="B89" s="53"/>
      <c r="C89" s="53"/>
      <c r="D89" s="55"/>
      <c r="E89" s="55"/>
      <c r="F89" s="57"/>
      <c r="G89" s="57"/>
      <c r="H89" s="57"/>
      <c r="I89" s="57"/>
      <c r="J89" s="21"/>
      <c r="K89" s="23"/>
      <c r="L89" s="24"/>
      <c r="M89" s="22"/>
      <c r="N89" s="1">
        <f t="shared" si="7"/>
        <v>0</v>
      </c>
      <c r="O89" t="e">
        <f t="shared" ca="1" si="8"/>
        <v>#NAME?</v>
      </c>
      <c r="P89" t="str">
        <f t="shared" si="9"/>
        <v xml:space="preserve">, </v>
      </c>
      <c r="Q89">
        <f t="shared" si="10"/>
        <v>6</v>
      </c>
    </row>
    <row r="90" spans="1:17" s="31" customFormat="1" ht="13.5" customHeight="1" thickBot="1" x14ac:dyDescent="0.45">
      <c r="A90" s="61"/>
      <c r="B90" s="60"/>
      <c r="C90" s="60"/>
      <c r="D90" s="55"/>
      <c r="E90" s="55"/>
      <c r="F90" s="57"/>
      <c r="G90" s="57"/>
      <c r="H90" s="57"/>
      <c r="I90" s="57"/>
      <c r="J90" s="21"/>
      <c r="K90" s="23"/>
      <c r="L90" s="24"/>
      <c r="M90" s="22"/>
      <c r="N90" s="1">
        <f t="shared" si="7"/>
        <v>0</v>
      </c>
      <c r="O90" t="e">
        <f t="shared" ca="1" si="8"/>
        <v>#NAME?</v>
      </c>
      <c r="P90" t="str">
        <f t="shared" si="9"/>
        <v xml:space="preserve">, </v>
      </c>
      <c r="Q90">
        <f t="shared" si="10"/>
        <v>6</v>
      </c>
    </row>
    <row r="91" spans="1:17" s="31" customFormat="1" ht="13.5" customHeight="1" thickBot="1" x14ac:dyDescent="0.45">
      <c r="A91" s="61"/>
      <c r="B91" s="60"/>
      <c r="C91" s="60"/>
      <c r="D91" s="56"/>
      <c r="E91" s="56"/>
      <c r="F91" s="58"/>
      <c r="G91" s="58"/>
      <c r="H91" s="58"/>
      <c r="I91" s="58"/>
      <c r="J91" s="21"/>
      <c r="K91" s="23"/>
      <c r="L91" s="24"/>
      <c r="M91" s="22"/>
      <c r="N91" s="1">
        <f t="shared" si="7"/>
        <v>0</v>
      </c>
      <c r="O91" t="e">
        <f t="shared" ca="1" si="8"/>
        <v>#NAME?</v>
      </c>
      <c r="P91" t="str">
        <f t="shared" si="9"/>
        <v xml:space="preserve">, </v>
      </c>
      <c r="Q91">
        <f t="shared" si="10"/>
        <v>6</v>
      </c>
    </row>
    <row r="92" spans="1:17" s="31" customFormat="1" ht="13.5" customHeight="1" thickBot="1" x14ac:dyDescent="0.45">
      <c r="A92" s="61"/>
      <c r="B92" s="54"/>
      <c r="C92" s="54"/>
      <c r="D92" s="56"/>
      <c r="E92" s="56"/>
      <c r="F92" s="58"/>
      <c r="G92" s="58"/>
      <c r="H92" s="58"/>
      <c r="I92" s="58"/>
      <c r="J92" s="21"/>
      <c r="K92" s="23"/>
      <c r="L92" s="24"/>
      <c r="M92" s="22"/>
      <c r="N92" s="1">
        <f t="shared" si="7"/>
        <v>0</v>
      </c>
      <c r="O92" t="e">
        <f t="shared" ca="1" si="8"/>
        <v>#NAME?</v>
      </c>
      <c r="P92" t="str">
        <f t="shared" si="9"/>
        <v xml:space="preserve">, </v>
      </c>
      <c r="Q92">
        <f t="shared" si="10"/>
        <v>6</v>
      </c>
    </row>
    <row r="93" spans="1:17" s="31" customFormat="1" ht="13.5" customHeight="1" thickBot="1" x14ac:dyDescent="0.45">
      <c r="A93" s="61"/>
      <c r="B93" s="60"/>
      <c r="C93" s="54"/>
      <c r="D93" s="56"/>
      <c r="E93" s="56"/>
      <c r="F93" s="58"/>
      <c r="G93" s="58"/>
      <c r="H93" s="58"/>
      <c r="I93" s="58"/>
      <c r="J93" s="21"/>
      <c r="K93" s="23"/>
      <c r="L93" s="24"/>
      <c r="M93" s="22"/>
      <c r="N93" s="1">
        <f t="shared" si="7"/>
        <v>0</v>
      </c>
      <c r="O93" t="e">
        <f t="shared" ca="1" si="8"/>
        <v>#NAME?</v>
      </c>
      <c r="P93" t="str">
        <f t="shared" si="9"/>
        <v xml:space="preserve">, </v>
      </c>
      <c r="Q93">
        <f t="shared" si="10"/>
        <v>6</v>
      </c>
    </row>
    <row r="94" spans="1:17" s="31" customFormat="1" ht="13.5" customHeight="1" thickBot="1" x14ac:dyDescent="0.45">
      <c r="A94" s="61"/>
      <c r="B94" s="54"/>
      <c r="C94" s="54"/>
      <c r="D94" s="56"/>
      <c r="E94" s="56"/>
      <c r="F94" s="58"/>
      <c r="G94" s="58"/>
      <c r="H94" s="58"/>
      <c r="I94" s="58"/>
      <c r="J94" s="21"/>
      <c r="K94" s="23"/>
      <c r="L94" s="24"/>
      <c r="M94" s="22"/>
      <c r="N94" s="1">
        <f t="shared" si="7"/>
        <v>0</v>
      </c>
      <c r="O94" t="e">
        <f t="shared" ca="1" si="8"/>
        <v>#NAME?</v>
      </c>
      <c r="P94" t="str">
        <f t="shared" si="9"/>
        <v xml:space="preserve">, </v>
      </c>
      <c r="Q94">
        <f t="shared" si="10"/>
        <v>6</v>
      </c>
    </row>
    <row r="95" spans="1:17" s="31" customFormat="1" ht="12.75" customHeight="1" thickBot="1" x14ac:dyDescent="0.45">
      <c r="A95" s="61"/>
      <c r="B95" s="54"/>
      <c r="C95" s="54"/>
      <c r="D95" s="56"/>
      <c r="E95" s="56"/>
      <c r="F95" s="58"/>
      <c r="G95" s="58"/>
      <c r="H95" s="58"/>
      <c r="I95" s="58"/>
      <c r="J95" s="21"/>
      <c r="K95" s="23"/>
      <c r="L95" s="24"/>
      <c r="M95" s="22"/>
      <c r="N95" s="1">
        <f t="shared" si="7"/>
        <v>0</v>
      </c>
      <c r="O95" t="e">
        <f t="shared" ca="1" si="8"/>
        <v>#NAME?</v>
      </c>
      <c r="P95" t="str">
        <f t="shared" si="9"/>
        <v xml:space="preserve">, </v>
      </c>
      <c r="Q95">
        <f t="shared" si="10"/>
        <v>6</v>
      </c>
    </row>
    <row r="96" spans="1:17" s="31" customFormat="1" ht="12.75" customHeight="1" thickBot="1" x14ac:dyDescent="0.45">
      <c r="A96" s="49"/>
      <c r="B96" s="53"/>
      <c r="C96" s="53"/>
      <c r="D96" s="55"/>
      <c r="E96" s="55"/>
      <c r="F96" s="57"/>
      <c r="G96" s="57"/>
      <c r="H96" s="57"/>
      <c r="I96" s="57"/>
      <c r="J96" s="21"/>
      <c r="K96" s="23"/>
      <c r="L96" s="24"/>
      <c r="M96" s="22"/>
      <c r="N96" s="1">
        <f t="shared" si="7"/>
        <v>0</v>
      </c>
      <c r="O96" t="e">
        <f t="shared" ca="1" si="8"/>
        <v>#NAME?</v>
      </c>
      <c r="P96" t="str">
        <f t="shared" si="9"/>
        <v xml:space="preserve">, </v>
      </c>
      <c r="Q96">
        <f t="shared" si="10"/>
        <v>6</v>
      </c>
    </row>
    <row r="97" spans="1:17" s="31" customFormat="1" ht="13.5" customHeight="1" thickBot="1" x14ac:dyDescent="0.45">
      <c r="A97" s="61"/>
      <c r="B97" s="54"/>
      <c r="C97" s="54"/>
      <c r="D97" s="56"/>
      <c r="E97" s="56"/>
      <c r="F97" s="58"/>
      <c r="G97" s="58"/>
      <c r="H97" s="58"/>
      <c r="I97" s="58"/>
      <c r="J97" s="21"/>
      <c r="K97" s="23"/>
      <c r="L97" s="24"/>
      <c r="M97" s="22"/>
      <c r="N97" s="1">
        <f t="shared" si="7"/>
        <v>0</v>
      </c>
      <c r="O97" t="e">
        <f t="shared" ca="1" si="8"/>
        <v>#NAME?</v>
      </c>
      <c r="P97" t="str">
        <f t="shared" si="9"/>
        <v xml:space="preserve">, </v>
      </c>
      <c r="Q97">
        <f t="shared" si="10"/>
        <v>6</v>
      </c>
    </row>
    <row r="98" spans="1:17" s="31" customFormat="1" ht="13.5" customHeight="1" thickBot="1" x14ac:dyDescent="0.45">
      <c r="A98" s="61"/>
      <c r="B98" s="54"/>
      <c r="C98" s="54"/>
      <c r="D98" s="55"/>
      <c r="E98" s="55"/>
      <c r="F98" s="57"/>
      <c r="G98" s="57"/>
      <c r="H98" s="57"/>
      <c r="I98" s="57"/>
      <c r="J98" s="21"/>
      <c r="K98" s="23"/>
      <c r="L98" s="24"/>
      <c r="M98" s="22"/>
      <c r="N98" s="1">
        <f t="shared" si="7"/>
        <v>0</v>
      </c>
      <c r="O98" t="e">
        <f t="shared" ref="O98:O129" ca="1" si="11">CheckDuplicateActivities(D98:I98, J98:M98)</f>
        <v>#NAME?</v>
      </c>
      <c r="P98" t="str">
        <f t="shared" ref="P98:P129" si="12">CONCATENATE(A98,", ",B98)</f>
        <v xml:space="preserve">, </v>
      </c>
      <c r="Q98">
        <f t="shared" si="10"/>
        <v>6</v>
      </c>
    </row>
    <row r="99" spans="1:17" s="31" customFormat="1" ht="13.5" customHeight="1" thickBot="1" x14ac:dyDescent="0.45">
      <c r="A99" s="61"/>
      <c r="B99" s="60"/>
      <c r="C99" s="60"/>
      <c r="D99" s="56"/>
      <c r="E99" s="56"/>
      <c r="F99" s="58"/>
      <c r="G99" s="58"/>
      <c r="H99" s="58"/>
      <c r="I99" s="57"/>
      <c r="J99" s="21"/>
      <c r="K99" s="23"/>
      <c r="L99" s="24"/>
      <c r="M99" s="22"/>
      <c r="N99" s="1">
        <f t="shared" si="7"/>
        <v>0</v>
      </c>
      <c r="O99" t="e">
        <f t="shared" ca="1" si="11"/>
        <v>#NAME?</v>
      </c>
      <c r="P99" t="str">
        <f t="shared" si="12"/>
        <v xml:space="preserve">, </v>
      </c>
      <c r="Q99">
        <f t="shared" si="10"/>
        <v>6</v>
      </c>
    </row>
    <row r="100" spans="1:17" s="31" customFormat="1" ht="13.5" customHeight="1" thickBot="1" x14ac:dyDescent="0.45">
      <c r="A100" s="61"/>
      <c r="B100" s="54"/>
      <c r="C100" s="54"/>
      <c r="D100" s="55"/>
      <c r="E100" s="55"/>
      <c r="F100" s="57"/>
      <c r="G100" s="57"/>
      <c r="H100" s="57"/>
      <c r="I100" s="57"/>
      <c r="J100" s="21"/>
      <c r="K100" s="23"/>
      <c r="L100" s="24"/>
      <c r="M100" s="22"/>
      <c r="N100" s="1">
        <f t="shared" si="7"/>
        <v>0</v>
      </c>
      <c r="O100" t="e">
        <f t="shared" ca="1" si="11"/>
        <v>#NAME?</v>
      </c>
      <c r="P100" t="str">
        <f t="shared" si="12"/>
        <v xml:space="preserve">, </v>
      </c>
      <c r="Q100">
        <f t="shared" si="10"/>
        <v>6</v>
      </c>
    </row>
    <row r="101" spans="1:17" ht="13.5" customHeight="1" thickBot="1" x14ac:dyDescent="0.45">
      <c r="A101" s="61"/>
      <c r="B101" s="60"/>
      <c r="C101" s="60"/>
      <c r="D101" s="55"/>
      <c r="E101" s="55"/>
      <c r="F101" s="57"/>
      <c r="G101" s="57"/>
      <c r="H101" s="57"/>
      <c r="I101" s="57"/>
      <c r="J101" s="2"/>
      <c r="K101" s="3"/>
      <c r="L101" s="4"/>
      <c r="M101" s="5"/>
      <c r="N101" s="1">
        <f t="shared" si="7"/>
        <v>0</v>
      </c>
      <c r="O101" t="e">
        <f t="shared" ca="1" si="11"/>
        <v>#NAME?</v>
      </c>
      <c r="P101" t="str">
        <f t="shared" si="12"/>
        <v xml:space="preserve">, </v>
      </c>
      <c r="Q101">
        <f t="shared" si="10"/>
        <v>6</v>
      </c>
    </row>
    <row r="102" spans="1:17" ht="13.5" customHeight="1" thickBot="1" x14ac:dyDescent="0.45">
      <c r="A102" s="61"/>
      <c r="B102" s="60"/>
      <c r="C102" s="60"/>
      <c r="D102" s="56"/>
      <c r="E102" s="56"/>
      <c r="F102" s="58"/>
      <c r="G102" s="58"/>
      <c r="H102" s="58"/>
      <c r="I102" s="58"/>
      <c r="J102" s="2"/>
      <c r="K102" s="3"/>
      <c r="L102" s="4"/>
      <c r="M102" s="5"/>
      <c r="N102" s="1">
        <f t="shared" si="7"/>
        <v>0</v>
      </c>
      <c r="O102" t="e">
        <f t="shared" ca="1" si="11"/>
        <v>#NAME?</v>
      </c>
      <c r="P102" t="str">
        <f t="shared" si="12"/>
        <v xml:space="preserve">, </v>
      </c>
      <c r="Q102">
        <f t="shared" si="10"/>
        <v>6</v>
      </c>
    </row>
    <row r="103" spans="1:17" ht="12.75" customHeight="1" thickBot="1" x14ac:dyDescent="0.45">
      <c r="A103" s="61"/>
      <c r="B103" s="54"/>
      <c r="C103" s="54"/>
      <c r="D103" s="56"/>
      <c r="E103" s="56"/>
      <c r="F103" s="58"/>
      <c r="G103" s="58"/>
      <c r="H103" s="58"/>
      <c r="I103" s="58"/>
      <c r="J103" s="2"/>
      <c r="K103" s="3"/>
      <c r="L103" s="4"/>
      <c r="M103" s="5"/>
      <c r="N103" s="1">
        <f t="shared" si="7"/>
        <v>0</v>
      </c>
      <c r="O103" t="e">
        <f t="shared" ca="1" si="11"/>
        <v>#NAME?</v>
      </c>
      <c r="P103" t="str">
        <f t="shared" si="12"/>
        <v xml:space="preserve">, </v>
      </c>
      <c r="Q103">
        <f t="shared" si="10"/>
        <v>6</v>
      </c>
    </row>
    <row r="104" spans="1:17" ht="13.5" customHeight="1" thickBot="1" x14ac:dyDescent="0.45">
      <c r="A104" s="49"/>
      <c r="B104" s="49"/>
      <c r="C104" s="49"/>
      <c r="D104" s="55"/>
      <c r="E104" s="55"/>
      <c r="F104" s="57"/>
      <c r="G104" s="57"/>
      <c r="H104" s="57"/>
      <c r="I104" s="57"/>
      <c r="J104" s="2"/>
      <c r="K104" s="3"/>
      <c r="L104" s="4"/>
      <c r="M104" s="5"/>
      <c r="N104" s="1">
        <f t="shared" si="7"/>
        <v>0</v>
      </c>
      <c r="O104" t="e">
        <f t="shared" ca="1" si="11"/>
        <v>#NAME?</v>
      </c>
      <c r="P104" t="str">
        <f t="shared" si="12"/>
        <v xml:space="preserve">, </v>
      </c>
      <c r="Q104">
        <f t="shared" si="10"/>
        <v>6</v>
      </c>
    </row>
    <row r="105" spans="1:17" ht="12.75" customHeight="1" thickBot="1" x14ac:dyDescent="0.45">
      <c r="A105" s="54"/>
      <c r="B105" s="54"/>
      <c r="C105" s="54"/>
      <c r="D105" s="56"/>
      <c r="E105" s="56"/>
      <c r="F105" s="58"/>
      <c r="G105" s="58"/>
      <c r="H105" s="58"/>
      <c r="I105" s="58"/>
      <c r="J105" s="2"/>
      <c r="K105" s="3"/>
      <c r="L105" s="4"/>
      <c r="M105" s="5"/>
      <c r="N105" s="1">
        <f t="shared" si="7"/>
        <v>0</v>
      </c>
      <c r="O105" t="e">
        <f t="shared" ca="1" si="11"/>
        <v>#NAME?</v>
      </c>
      <c r="P105" t="str">
        <f t="shared" si="12"/>
        <v xml:space="preserve">, </v>
      </c>
      <c r="Q105">
        <f t="shared" si="10"/>
        <v>6</v>
      </c>
    </row>
    <row r="106" spans="1:17" ht="13.5" customHeight="1" thickBot="1" x14ac:dyDescent="0.45">
      <c r="A106" s="54"/>
      <c r="B106" s="54"/>
      <c r="C106" s="54"/>
      <c r="D106" s="56"/>
      <c r="E106" s="56"/>
      <c r="F106" s="58"/>
      <c r="G106" s="58"/>
      <c r="H106" s="58"/>
      <c r="I106" s="58"/>
      <c r="J106" s="2"/>
      <c r="K106" s="3"/>
      <c r="L106" s="4"/>
      <c r="M106" s="5"/>
      <c r="N106" s="1">
        <f t="shared" si="7"/>
        <v>0</v>
      </c>
      <c r="O106" t="e">
        <f t="shared" ca="1" si="11"/>
        <v>#NAME?</v>
      </c>
      <c r="P106" t="str">
        <f t="shared" si="12"/>
        <v xml:space="preserve">, </v>
      </c>
      <c r="Q106">
        <f t="shared" si="10"/>
        <v>6</v>
      </c>
    </row>
    <row r="107" spans="1:17" ht="13.5" customHeight="1" thickBot="1" x14ac:dyDescent="0.45">
      <c r="A107" s="54"/>
      <c r="B107" s="54"/>
      <c r="C107" s="54"/>
      <c r="D107" s="55"/>
      <c r="E107" s="55"/>
      <c r="F107" s="57"/>
      <c r="G107" s="57"/>
      <c r="H107" s="57"/>
      <c r="I107" s="57"/>
      <c r="J107" s="2"/>
      <c r="K107" s="3"/>
      <c r="L107" s="4"/>
      <c r="M107" s="5"/>
      <c r="N107" s="1">
        <f t="shared" si="7"/>
        <v>0</v>
      </c>
      <c r="O107" t="e">
        <f t="shared" ca="1" si="11"/>
        <v>#NAME?</v>
      </c>
      <c r="P107" t="str">
        <f t="shared" si="12"/>
        <v xml:space="preserve">, </v>
      </c>
      <c r="Q107">
        <f t="shared" si="10"/>
        <v>6</v>
      </c>
    </row>
    <row r="108" spans="1:17" ht="13.5" customHeight="1" thickBot="1" x14ac:dyDescent="0.45">
      <c r="A108" s="54"/>
      <c r="B108" s="54"/>
      <c r="C108" s="54"/>
      <c r="D108" s="56"/>
      <c r="E108" s="56"/>
      <c r="F108" s="58"/>
      <c r="G108" s="58"/>
      <c r="H108" s="58"/>
      <c r="I108" s="58"/>
      <c r="J108" s="2"/>
      <c r="K108" s="3"/>
      <c r="L108" s="4"/>
      <c r="M108" s="5"/>
      <c r="N108" s="1">
        <f t="shared" si="7"/>
        <v>0</v>
      </c>
      <c r="O108" t="e">
        <f t="shared" ca="1" si="11"/>
        <v>#NAME?</v>
      </c>
      <c r="P108" t="str">
        <f t="shared" si="12"/>
        <v xml:space="preserve">, </v>
      </c>
      <c r="Q108">
        <f t="shared" si="10"/>
        <v>6</v>
      </c>
    </row>
    <row r="109" spans="1:17" ht="12.75" customHeight="1" thickBot="1" x14ac:dyDescent="0.45">
      <c r="A109" s="54"/>
      <c r="B109" s="60"/>
      <c r="C109" s="60"/>
      <c r="D109" s="55"/>
      <c r="E109" s="55"/>
      <c r="F109" s="57"/>
      <c r="G109" s="57"/>
      <c r="H109" s="57"/>
      <c r="I109" s="57"/>
      <c r="J109" s="2"/>
      <c r="K109" s="3"/>
      <c r="L109" s="4"/>
      <c r="M109" s="5"/>
      <c r="N109" s="1">
        <f t="shared" si="7"/>
        <v>0</v>
      </c>
      <c r="O109" t="e">
        <f t="shared" ca="1" si="11"/>
        <v>#NAME?</v>
      </c>
      <c r="P109" t="str">
        <f t="shared" si="12"/>
        <v xml:space="preserve">, </v>
      </c>
      <c r="Q109">
        <f t="shared" si="10"/>
        <v>6</v>
      </c>
    </row>
    <row r="110" spans="1:17" ht="13.5" customHeight="1" thickBot="1" x14ac:dyDescent="0.45">
      <c r="A110" s="54"/>
      <c r="B110" s="60"/>
      <c r="C110" s="60"/>
      <c r="D110" s="56"/>
      <c r="E110" s="56"/>
      <c r="F110" s="58"/>
      <c r="G110" s="58"/>
      <c r="H110" s="58"/>
      <c r="I110" s="58"/>
      <c r="J110" s="2"/>
      <c r="K110" s="3"/>
      <c r="L110" s="4"/>
      <c r="M110" s="5"/>
      <c r="N110" s="1">
        <f t="shared" si="7"/>
        <v>0</v>
      </c>
      <c r="O110" t="e">
        <f t="shared" ca="1" si="11"/>
        <v>#NAME?</v>
      </c>
      <c r="P110" t="str">
        <f t="shared" si="12"/>
        <v xml:space="preserve">, </v>
      </c>
      <c r="Q110">
        <f t="shared" si="10"/>
        <v>6</v>
      </c>
    </row>
    <row r="111" spans="1:17" ht="13.5" customHeight="1" thickBot="1" x14ac:dyDescent="0.45">
      <c r="A111" s="54"/>
      <c r="B111" s="54"/>
      <c r="C111" s="54"/>
      <c r="D111" s="55"/>
      <c r="E111" s="55"/>
      <c r="F111" s="57"/>
      <c r="G111" s="57"/>
      <c r="H111" s="57"/>
      <c r="I111" s="57"/>
      <c r="J111" s="2"/>
      <c r="K111" s="3"/>
      <c r="L111" s="4"/>
      <c r="M111" s="5"/>
      <c r="N111" s="1">
        <f t="shared" si="7"/>
        <v>0</v>
      </c>
      <c r="O111" t="e">
        <f t="shared" ca="1" si="11"/>
        <v>#NAME?</v>
      </c>
      <c r="P111" t="str">
        <f t="shared" si="12"/>
        <v xml:space="preserve">, </v>
      </c>
      <c r="Q111">
        <f t="shared" si="10"/>
        <v>6</v>
      </c>
    </row>
    <row r="112" spans="1:17" ht="12.75" customHeight="1" thickBot="1" x14ac:dyDescent="0.45">
      <c r="A112" s="54"/>
      <c r="B112" s="60"/>
      <c r="C112" s="60"/>
      <c r="D112" s="56"/>
      <c r="E112" s="56"/>
      <c r="F112" s="58"/>
      <c r="G112" s="58"/>
      <c r="H112" s="58"/>
      <c r="I112" s="58"/>
      <c r="J112" s="2"/>
      <c r="K112" s="3"/>
      <c r="L112" s="4"/>
      <c r="M112" s="5"/>
      <c r="N112" s="1">
        <f t="shared" si="7"/>
        <v>0</v>
      </c>
      <c r="O112" t="e">
        <f t="shared" ca="1" si="11"/>
        <v>#NAME?</v>
      </c>
      <c r="P112" t="str">
        <f t="shared" si="12"/>
        <v xml:space="preserve">, </v>
      </c>
      <c r="Q112">
        <f t="shared" si="10"/>
        <v>6</v>
      </c>
    </row>
    <row r="113" spans="1:17" ht="12.75" customHeight="1" thickBot="1" x14ac:dyDescent="0.45">
      <c r="A113" s="53"/>
      <c r="B113" s="53"/>
      <c r="C113" s="53"/>
      <c r="D113" s="55"/>
      <c r="E113" s="55"/>
      <c r="F113" s="57"/>
      <c r="G113" s="57"/>
      <c r="H113" s="57"/>
      <c r="I113" s="57"/>
      <c r="J113" s="2"/>
      <c r="K113" s="3"/>
      <c r="L113" s="4"/>
      <c r="M113" s="5"/>
      <c r="N113" s="1">
        <f t="shared" si="7"/>
        <v>0</v>
      </c>
      <c r="O113" t="e">
        <f t="shared" ca="1" si="11"/>
        <v>#NAME?</v>
      </c>
      <c r="P113" t="str">
        <f t="shared" si="12"/>
        <v xml:space="preserve">, </v>
      </c>
      <c r="Q113">
        <f t="shared" si="10"/>
        <v>6</v>
      </c>
    </row>
    <row r="114" spans="1:17" ht="13.5" customHeight="1" thickBot="1" x14ac:dyDescent="0.45">
      <c r="A114" s="54"/>
      <c r="B114" s="54"/>
      <c r="C114" s="54"/>
      <c r="D114" s="56"/>
      <c r="E114" s="56"/>
      <c r="F114" s="58"/>
      <c r="G114" s="58"/>
      <c r="H114" s="58"/>
      <c r="I114" s="58"/>
      <c r="J114" s="2"/>
      <c r="K114" s="3"/>
      <c r="L114" s="4"/>
      <c r="M114" s="5"/>
      <c r="N114" s="1">
        <f t="shared" si="7"/>
        <v>0</v>
      </c>
      <c r="O114" t="e">
        <f t="shared" ca="1" si="11"/>
        <v>#NAME?</v>
      </c>
      <c r="P114" t="str">
        <f t="shared" si="12"/>
        <v xml:space="preserve">, </v>
      </c>
      <c r="Q114">
        <f t="shared" si="10"/>
        <v>6</v>
      </c>
    </row>
    <row r="115" spans="1:17" ht="12.75" customHeight="1" thickBot="1" x14ac:dyDescent="0.45">
      <c r="A115" s="54"/>
      <c r="B115" s="60"/>
      <c r="C115" s="60"/>
      <c r="D115" s="55"/>
      <c r="E115" s="55"/>
      <c r="F115" s="57"/>
      <c r="G115" s="57"/>
      <c r="H115" s="57"/>
      <c r="I115" s="57"/>
      <c r="J115" s="2"/>
      <c r="K115" s="3"/>
      <c r="L115" s="4"/>
      <c r="M115" s="5"/>
      <c r="N115" s="1">
        <f t="shared" si="7"/>
        <v>0</v>
      </c>
      <c r="O115" t="e">
        <f t="shared" ca="1" si="11"/>
        <v>#NAME?</v>
      </c>
      <c r="P115" t="str">
        <f t="shared" si="12"/>
        <v xml:space="preserve">, </v>
      </c>
      <c r="Q115">
        <f t="shared" si="10"/>
        <v>6</v>
      </c>
    </row>
    <row r="116" spans="1:17" ht="13.5" customHeight="1" thickBot="1" x14ac:dyDescent="0.45">
      <c r="A116" s="54"/>
      <c r="B116" s="54"/>
      <c r="C116" s="54"/>
      <c r="D116" s="56"/>
      <c r="E116" s="56"/>
      <c r="F116" s="58"/>
      <c r="G116" s="58"/>
      <c r="H116" s="58"/>
      <c r="I116" s="58"/>
      <c r="J116" s="2"/>
      <c r="K116" s="3"/>
      <c r="L116" s="4"/>
      <c r="M116" s="5"/>
      <c r="N116" s="1">
        <f t="shared" si="7"/>
        <v>0</v>
      </c>
      <c r="O116" t="e">
        <f t="shared" ca="1" si="11"/>
        <v>#NAME?</v>
      </c>
      <c r="P116" t="str">
        <f t="shared" si="12"/>
        <v xml:space="preserve">, </v>
      </c>
      <c r="Q116">
        <f t="shared" si="10"/>
        <v>6</v>
      </c>
    </row>
    <row r="117" spans="1:17" ht="13.5" customHeight="1" thickBot="1" x14ac:dyDescent="0.45">
      <c r="A117" s="54"/>
      <c r="B117" s="60"/>
      <c r="C117" s="60"/>
      <c r="D117" s="55"/>
      <c r="E117" s="55"/>
      <c r="F117" s="57"/>
      <c r="G117" s="57"/>
      <c r="H117" s="57"/>
      <c r="I117" s="57"/>
      <c r="J117" s="2"/>
      <c r="K117" s="3"/>
      <c r="L117" s="4"/>
      <c r="M117" s="5"/>
      <c r="N117" s="1">
        <f t="shared" si="7"/>
        <v>0</v>
      </c>
      <c r="O117" t="e">
        <f t="shared" ca="1" si="11"/>
        <v>#NAME?</v>
      </c>
      <c r="P117" t="str">
        <f t="shared" si="12"/>
        <v xml:space="preserve">, </v>
      </c>
      <c r="Q117">
        <f t="shared" si="10"/>
        <v>6</v>
      </c>
    </row>
    <row r="118" spans="1:17" ht="13.5" customHeight="1" thickBot="1" x14ac:dyDescent="0.45">
      <c r="A118" s="54"/>
      <c r="B118" s="54"/>
      <c r="C118" s="54"/>
      <c r="D118" s="56"/>
      <c r="E118" s="56"/>
      <c r="F118" s="58"/>
      <c r="G118" s="58"/>
      <c r="H118" s="58"/>
      <c r="I118" s="58"/>
      <c r="J118" s="2"/>
      <c r="K118" s="3"/>
      <c r="L118" s="4"/>
      <c r="M118" s="5"/>
      <c r="N118" s="1">
        <f t="shared" si="7"/>
        <v>0</v>
      </c>
      <c r="O118" t="e">
        <f t="shared" ca="1" si="11"/>
        <v>#NAME?</v>
      </c>
      <c r="P118" t="str">
        <f t="shared" si="12"/>
        <v xml:space="preserve">, </v>
      </c>
      <c r="Q118">
        <f t="shared" si="10"/>
        <v>6</v>
      </c>
    </row>
    <row r="119" spans="1:17" ht="13.5" customHeight="1" thickBot="1" x14ac:dyDescent="0.45">
      <c r="A119" s="54"/>
      <c r="B119" s="60"/>
      <c r="C119" s="60"/>
      <c r="D119" s="56"/>
      <c r="E119" s="56"/>
      <c r="F119" s="58"/>
      <c r="G119" s="58"/>
      <c r="H119" s="58"/>
      <c r="I119" s="58"/>
      <c r="J119" s="2"/>
      <c r="K119" s="3"/>
      <c r="L119" s="4"/>
      <c r="M119" s="5"/>
      <c r="N119" s="1">
        <f t="shared" si="7"/>
        <v>0</v>
      </c>
      <c r="O119" t="e">
        <f t="shared" ca="1" si="11"/>
        <v>#NAME?</v>
      </c>
      <c r="P119" t="str">
        <f t="shared" si="12"/>
        <v xml:space="preserve">, </v>
      </c>
      <c r="Q119">
        <f t="shared" si="10"/>
        <v>6</v>
      </c>
    </row>
    <row r="120" spans="1:17" ht="13.5" customHeight="1" thickBot="1" x14ac:dyDescent="0.45">
      <c r="A120" s="54"/>
      <c r="B120" s="54"/>
      <c r="C120" s="54"/>
      <c r="D120" s="56"/>
      <c r="E120" s="56"/>
      <c r="F120" s="58"/>
      <c r="G120" s="58"/>
      <c r="H120" s="58"/>
      <c r="I120" s="58"/>
      <c r="J120" s="2"/>
      <c r="K120" s="3"/>
      <c r="L120" s="4"/>
      <c r="M120" s="5"/>
      <c r="N120" s="1">
        <f t="shared" si="7"/>
        <v>0</v>
      </c>
      <c r="O120" t="e">
        <f t="shared" ca="1" si="11"/>
        <v>#NAME?</v>
      </c>
      <c r="P120" t="str">
        <f t="shared" si="12"/>
        <v xml:space="preserve">, </v>
      </c>
      <c r="Q120">
        <f t="shared" si="10"/>
        <v>6</v>
      </c>
    </row>
    <row r="121" spans="1:17" ht="13.5" customHeight="1" thickBot="1" x14ac:dyDescent="0.45">
      <c r="A121" s="54"/>
      <c r="B121" s="60"/>
      <c r="C121" s="60"/>
      <c r="D121" s="55"/>
      <c r="E121" s="55"/>
      <c r="F121" s="57"/>
      <c r="G121" s="57"/>
      <c r="H121" s="57"/>
      <c r="I121" s="57"/>
      <c r="J121" s="2"/>
      <c r="K121" s="3"/>
      <c r="L121" s="4"/>
      <c r="M121" s="5"/>
      <c r="N121" s="1">
        <f t="shared" si="7"/>
        <v>0</v>
      </c>
      <c r="O121" t="e">
        <f t="shared" ca="1" si="11"/>
        <v>#NAME?</v>
      </c>
      <c r="P121" t="str">
        <f t="shared" si="12"/>
        <v xml:space="preserve">, </v>
      </c>
      <c r="Q121">
        <f t="shared" si="10"/>
        <v>6</v>
      </c>
    </row>
    <row r="122" spans="1:17" ht="13.5" customHeight="1" thickBot="1" x14ac:dyDescent="0.45">
      <c r="A122" s="54"/>
      <c r="B122" s="54"/>
      <c r="C122" s="54"/>
      <c r="D122" s="56"/>
      <c r="E122" s="56"/>
      <c r="F122" s="58"/>
      <c r="G122" s="58"/>
      <c r="H122" s="58"/>
      <c r="I122" s="58"/>
      <c r="J122" s="2"/>
      <c r="K122" s="3"/>
      <c r="L122" s="4"/>
      <c r="M122" s="5"/>
      <c r="N122" s="1">
        <f t="shared" si="7"/>
        <v>0</v>
      </c>
      <c r="O122" t="e">
        <f t="shared" ca="1" si="11"/>
        <v>#NAME?</v>
      </c>
      <c r="P122" t="str">
        <f t="shared" si="12"/>
        <v xml:space="preserve">, </v>
      </c>
      <c r="Q122">
        <f t="shared" si="10"/>
        <v>6</v>
      </c>
    </row>
    <row r="123" spans="1:17" ht="13.5" customHeight="1" thickBot="1" x14ac:dyDescent="0.45">
      <c r="A123" s="53"/>
      <c r="B123" s="53"/>
      <c r="C123" s="53"/>
      <c r="D123" s="55"/>
      <c r="E123" s="55"/>
      <c r="F123" s="57"/>
      <c r="G123" s="57"/>
      <c r="H123" s="57"/>
      <c r="I123" s="57"/>
      <c r="J123" s="2"/>
      <c r="K123" s="3"/>
      <c r="L123" s="4"/>
      <c r="M123" s="5"/>
      <c r="N123" s="1">
        <f t="shared" si="7"/>
        <v>0</v>
      </c>
      <c r="O123" t="e">
        <f t="shared" ca="1" si="11"/>
        <v>#NAME?</v>
      </c>
      <c r="P123" t="str">
        <f t="shared" si="12"/>
        <v xml:space="preserve">, </v>
      </c>
      <c r="Q123">
        <f t="shared" si="10"/>
        <v>6</v>
      </c>
    </row>
    <row r="124" spans="1:17" ht="13.5" customHeight="1" thickBot="1" x14ac:dyDescent="0.45">
      <c r="A124" s="54"/>
      <c r="B124" s="60"/>
      <c r="C124" s="60"/>
      <c r="D124" s="55"/>
      <c r="E124" s="55"/>
      <c r="F124" s="57"/>
      <c r="G124" s="57"/>
      <c r="H124" s="57"/>
      <c r="I124" s="57"/>
      <c r="J124" s="2"/>
      <c r="K124" s="3"/>
      <c r="L124" s="4"/>
      <c r="M124" s="5"/>
      <c r="N124" s="1">
        <f t="shared" si="7"/>
        <v>0</v>
      </c>
      <c r="O124" t="e">
        <f t="shared" ca="1" si="11"/>
        <v>#NAME?</v>
      </c>
      <c r="P124" t="str">
        <f t="shared" si="12"/>
        <v xml:space="preserve">, </v>
      </c>
      <c r="Q124">
        <f t="shared" si="10"/>
        <v>6</v>
      </c>
    </row>
    <row r="125" spans="1:17" ht="13.5" customHeight="1" thickBot="1" x14ac:dyDescent="0.45">
      <c r="A125" s="54"/>
      <c r="B125" s="54"/>
      <c r="C125" s="54"/>
      <c r="D125" s="55"/>
      <c r="E125" s="55"/>
      <c r="F125" s="57"/>
      <c r="G125" s="57"/>
      <c r="H125" s="57"/>
      <c r="I125" s="57"/>
      <c r="J125" s="2"/>
      <c r="K125" s="3"/>
      <c r="L125" s="4"/>
      <c r="M125" s="5"/>
      <c r="N125" s="1">
        <f t="shared" si="7"/>
        <v>0</v>
      </c>
      <c r="O125" t="e">
        <f t="shared" ca="1" si="11"/>
        <v>#NAME?</v>
      </c>
      <c r="P125" t="str">
        <f t="shared" si="12"/>
        <v xml:space="preserve">, </v>
      </c>
      <c r="Q125">
        <f t="shared" si="10"/>
        <v>6</v>
      </c>
    </row>
    <row r="126" spans="1:17" ht="13.5" customHeight="1" thickBot="1" x14ac:dyDescent="0.45">
      <c r="A126" s="54"/>
      <c r="B126" s="54"/>
      <c r="C126" s="54"/>
      <c r="D126" s="55"/>
      <c r="E126" s="55"/>
      <c r="F126" s="57"/>
      <c r="G126" s="57"/>
      <c r="H126" s="57"/>
      <c r="I126" s="57"/>
      <c r="J126" s="2"/>
      <c r="K126" s="3"/>
      <c r="L126" s="4"/>
      <c r="M126" s="5"/>
      <c r="N126" s="1">
        <f t="shared" si="7"/>
        <v>0</v>
      </c>
      <c r="O126" t="e">
        <f t="shared" ca="1" si="11"/>
        <v>#NAME?</v>
      </c>
      <c r="P126" t="str">
        <f t="shared" si="12"/>
        <v xml:space="preserve">, </v>
      </c>
      <c r="Q126">
        <f t="shared" si="10"/>
        <v>6</v>
      </c>
    </row>
    <row r="127" spans="1:17" ht="13.5" customHeight="1" thickBot="1" x14ac:dyDescent="0.45">
      <c r="A127" s="54"/>
      <c r="B127" s="60"/>
      <c r="C127" s="60"/>
      <c r="D127" s="55"/>
      <c r="E127" s="55"/>
      <c r="F127" s="57"/>
      <c r="G127" s="57"/>
      <c r="H127" s="57"/>
      <c r="I127" s="57"/>
      <c r="J127" s="2"/>
      <c r="K127" s="3"/>
      <c r="L127" s="4"/>
      <c r="M127" s="5"/>
      <c r="N127" s="1">
        <f t="shared" si="7"/>
        <v>0</v>
      </c>
      <c r="O127" t="e">
        <f t="shared" ca="1" si="11"/>
        <v>#NAME?</v>
      </c>
      <c r="P127" t="str">
        <f t="shared" si="12"/>
        <v xml:space="preserve">, </v>
      </c>
      <c r="Q127">
        <f t="shared" si="10"/>
        <v>6</v>
      </c>
    </row>
    <row r="128" spans="1:17" ht="13.5" customHeight="1" thickBot="1" x14ac:dyDescent="0.45">
      <c r="A128" s="54"/>
      <c r="B128" s="54"/>
      <c r="C128" s="54"/>
      <c r="D128" s="55"/>
      <c r="E128" s="55"/>
      <c r="F128" s="57"/>
      <c r="G128" s="57"/>
      <c r="H128" s="57"/>
      <c r="I128" s="57"/>
      <c r="J128" s="2"/>
      <c r="K128" s="3"/>
      <c r="L128" s="4"/>
      <c r="M128" s="5"/>
      <c r="N128" s="1">
        <f t="shared" si="7"/>
        <v>0</v>
      </c>
      <c r="O128" t="e">
        <f t="shared" ca="1" si="11"/>
        <v>#NAME?</v>
      </c>
      <c r="P128" t="str">
        <f t="shared" si="12"/>
        <v xml:space="preserve">, </v>
      </c>
      <c r="Q128">
        <f t="shared" si="10"/>
        <v>6</v>
      </c>
    </row>
    <row r="129" spans="1:17" ht="13.5" customHeight="1" thickBot="1" x14ac:dyDescent="0.45">
      <c r="A129" s="54"/>
      <c r="B129" s="54"/>
      <c r="C129" s="54"/>
      <c r="D129" s="55"/>
      <c r="E129" s="55"/>
      <c r="F129" s="57"/>
      <c r="G129" s="57"/>
      <c r="H129" s="57"/>
      <c r="I129" s="57"/>
      <c r="J129" s="2"/>
      <c r="K129" s="3"/>
      <c r="L129" s="4"/>
      <c r="M129" s="5"/>
      <c r="N129" s="1">
        <f t="shared" si="7"/>
        <v>0</v>
      </c>
      <c r="O129" t="e">
        <f t="shared" ca="1" si="11"/>
        <v>#NAME?</v>
      </c>
      <c r="P129" t="str">
        <f t="shared" si="12"/>
        <v xml:space="preserve">, </v>
      </c>
      <c r="Q129">
        <f t="shared" si="10"/>
        <v>6</v>
      </c>
    </row>
    <row r="130" spans="1:17" ht="13.5" customHeight="1" thickBot="1" x14ac:dyDescent="0.45">
      <c r="A130" s="54"/>
      <c r="B130" s="60"/>
      <c r="C130" s="60"/>
      <c r="D130" s="55"/>
      <c r="E130" s="55"/>
      <c r="F130" s="57"/>
      <c r="G130" s="57"/>
      <c r="H130" s="57"/>
      <c r="I130" s="57"/>
      <c r="J130" s="2"/>
      <c r="K130" s="3"/>
      <c r="L130" s="4"/>
      <c r="M130" s="5"/>
      <c r="N130" s="1">
        <f t="shared" ref="N130:N193" si="13">4-COUNTBLANK(J130:M130)</f>
        <v>0</v>
      </c>
      <c r="O130" t="e">
        <f t="shared" ref="O130:O152" ca="1" si="14">CheckDuplicateActivities(D130:I130, J130:M130)</f>
        <v>#NAME?</v>
      </c>
      <c r="P130" t="str">
        <f t="shared" ref="P130:P164" si="15">CONCATENATE(A130,", ",B130)</f>
        <v xml:space="preserve">, </v>
      </c>
      <c r="Q130">
        <f t="shared" si="10"/>
        <v>6</v>
      </c>
    </row>
    <row r="131" spans="1:17" ht="13.5" customHeight="1" thickBot="1" x14ac:dyDescent="0.45">
      <c r="A131" s="53"/>
      <c r="B131" s="59"/>
      <c r="C131" s="59"/>
      <c r="D131" s="55"/>
      <c r="E131" s="55"/>
      <c r="F131" s="57"/>
      <c r="G131" s="57"/>
      <c r="H131" s="57"/>
      <c r="I131" s="57"/>
      <c r="J131" s="2"/>
      <c r="K131" s="3"/>
      <c r="L131" s="4"/>
      <c r="M131" s="5"/>
      <c r="N131" s="1">
        <f t="shared" si="13"/>
        <v>0</v>
      </c>
      <c r="O131" t="e">
        <f t="shared" ca="1" si="14"/>
        <v>#NAME?</v>
      </c>
      <c r="P131" t="str">
        <f t="shared" si="15"/>
        <v xml:space="preserve">, </v>
      </c>
      <c r="Q131">
        <f t="shared" ref="Q131:Q194" si="16">COUNTBLANK(D131:I131)</f>
        <v>6</v>
      </c>
    </row>
    <row r="132" spans="1:17" ht="13.5" customHeight="1" thickBot="1" x14ac:dyDescent="0.45">
      <c r="A132" s="54"/>
      <c r="B132" s="54"/>
      <c r="C132" s="54"/>
      <c r="D132" s="55"/>
      <c r="E132" s="55"/>
      <c r="F132" s="57"/>
      <c r="G132" s="57"/>
      <c r="H132" s="57"/>
      <c r="I132" s="57"/>
      <c r="J132" s="2"/>
      <c r="K132" s="3"/>
      <c r="L132" s="4"/>
      <c r="M132" s="5"/>
      <c r="N132" s="1">
        <f t="shared" si="13"/>
        <v>0</v>
      </c>
      <c r="O132" t="e">
        <f t="shared" ca="1" si="14"/>
        <v>#NAME?</v>
      </c>
      <c r="P132" t="str">
        <f t="shared" si="15"/>
        <v xml:space="preserve">, </v>
      </c>
      <c r="Q132">
        <f t="shared" si="16"/>
        <v>6</v>
      </c>
    </row>
    <row r="133" spans="1:17" ht="13.5" customHeight="1" thickBot="1" x14ac:dyDescent="0.45">
      <c r="A133" s="54"/>
      <c r="B133" s="54"/>
      <c r="C133" s="54"/>
      <c r="D133" s="55"/>
      <c r="E133" s="55"/>
      <c r="F133" s="57"/>
      <c r="G133" s="57"/>
      <c r="H133" s="57"/>
      <c r="I133" s="57"/>
      <c r="J133" s="2"/>
      <c r="K133" s="3"/>
      <c r="L133" s="4"/>
      <c r="M133" s="5"/>
      <c r="N133" s="1">
        <f t="shared" si="13"/>
        <v>0</v>
      </c>
      <c r="O133" t="e">
        <f t="shared" ca="1" si="14"/>
        <v>#NAME?</v>
      </c>
      <c r="P133" t="str">
        <f t="shared" si="15"/>
        <v xml:space="preserve">, </v>
      </c>
      <c r="Q133">
        <f t="shared" si="16"/>
        <v>6</v>
      </c>
    </row>
    <row r="134" spans="1:17" ht="13.5" customHeight="1" thickBot="1" x14ac:dyDescent="0.45">
      <c r="A134" s="54"/>
      <c r="B134" s="54"/>
      <c r="C134" s="54"/>
      <c r="D134" s="55"/>
      <c r="E134" s="55"/>
      <c r="F134" s="57"/>
      <c r="G134" s="57"/>
      <c r="H134" s="57"/>
      <c r="I134" s="57"/>
      <c r="J134" s="2"/>
      <c r="K134" s="3"/>
      <c r="L134" s="4"/>
      <c r="M134" s="5"/>
      <c r="N134" s="1">
        <f t="shared" si="13"/>
        <v>0</v>
      </c>
      <c r="O134" t="e">
        <f t="shared" ca="1" si="14"/>
        <v>#NAME?</v>
      </c>
      <c r="P134" t="str">
        <f t="shared" si="15"/>
        <v xml:space="preserve">, </v>
      </c>
      <c r="Q134">
        <f t="shared" si="16"/>
        <v>6</v>
      </c>
    </row>
    <row r="135" spans="1:17" ht="13.5" customHeight="1" thickBot="1" x14ac:dyDescent="0.45">
      <c r="A135" s="54"/>
      <c r="B135" s="54"/>
      <c r="C135" s="54"/>
      <c r="D135" s="55"/>
      <c r="E135" s="55"/>
      <c r="F135" s="57"/>
      <c r="G135" s="57"/>
      <c r="H135" s="57"/>
      <c r="I135" s="57"/>
      <c r="J135" s="2"/>
      <c r="K135" s="3"/>
      <c r="L135" s="4"/>
      <c r="M135" s="5"/>
      <c r="N135" s="1">
        <f t="shared" si="13"/>
        <v>0</v>
      </c>
      <c r="O135" t="e">
        <f t="shared" ca="1" si="14"/>
        <v>#NAME?</v>
      </c>
      <c r="P135" t="str">
        <f t="shared" si="15"/>
        <v xml:space="preserve">, </v>
      </c>
      <c r="Q135">
        <f t="shared" si="16"/>
        <v>6</v>
      </c>
    </row>
    <row r="136" spans="1:17" ht="13.5" customHeight="1" thickBot="1" x14ac:dyDescent="0.45">
      <c r="A136" s="54"/>
      <c r="B136" s="54"/>
      <c r="C136" s="54"/>
      <c r="D136" s="55"/>
      <c r="E136" s="55"/>
      <c r="F136" s="57"/>
      <c r="G136" s="57"/>
      <c r="H136" s="57"/>
      <c r="I136" s="57"/>
      <c r="J136" s="2"/>
      <c r="K136" s="3"/>
      <c r="L136" s="4"/>
      <c r="M136" s="5"/>
      <c r="N136" s="1">
        <f t="shared" si="13"/>
        <v>0</v>
      </c>
      <c r="O136" t="e">
        <f t="shared" ca="1" si="14"/>
        <v>#NAME?</v>
      </c>
      <c r="P136" t="str">
        <f t="shared" si="15"/>
        <v xml:space="preserve">, </v>
      </c>
      <c r="Q136">
        <f t="shared" si="16"/>
        <v>6</v>
      </c>
    </row>
    <row r="137" spans="1:17" ht="13.5" customHeight="1" thickBot="1" x14ac:dyDescent="0.45">
      <c r="A137" s="54"/>
      <c r="B137" s="60"/>
      <c r="C137" s="60"/>
      <c r="D137" s="55"/>
      <c r="E137" s="55"/>
      <c r="F137" s="57"/>
      <c r="G137" s="57"/>
      <c r="H137" s="57"/>
      <c r="I137" s="57"/>
      <c r="J137" s="2"/>
      <c r="K137" s="3"/>
      <c r="L137" s="4"/>
      <c r="M137" s="5"/>
      <c r="N137" s="1">
        <f t="shared" si="13"/>
        <v>0</v>
      </c>
      <c r="O137" t="e">
        <f t="shared" ca="1" si="14"/>
        <v>#NAME?</v>
      </c>
      <c r="P137" t="str">
        <f t="shared" si="15"/>
        <v xml:space="preserve">, </v>
      </c>
      <c r="Q137">
        <f t="shared" si="16"/>
        <v>6</v>
      </c>
    </row>
    <row r="138" spans="1:17" ht="13.5" customHeight="1" thickBot="1" x14ac:dyDescent="0.45">
      <c r="A138" s="54"/>
      <c r="B138" s="60"/>
      <c r="C138" s="60"/>
      <c r="D138" s="55"/>
      <c r="E138" s="55"/>
      <c r="F138" s="57"/>
      <c r="G138" s="57"/>
      <c r="H138" s="57"/>
      <c r="I138" s="57"/>
      <c r="J138" s="2"/>
      <c r="K138" s="3"/>
      <c r="L138" s="4"/>
      <c r="M138" s="5"/>
      <c r="N138" s="1">
        <f t="shared" si="13"/>
        <v>0</v>
      </c>
      <c r="O138" t="e">
        <f t="shared" ca="1" si="14"/>
        <v>#NAME?</v>
      </c>
      <c r="P138" t="str">
        <f t="shared" si="15"/>
        <v xml:space="preserve">, </v>
      </c>
      <c r="Q138">
        <f t="shared" si="16"/>
        <v>6</v>
      </c>
    </row>
    <row r="139" spans="1:17" ht="13.5" customHeight="1" thickBot="1" x14ac:dyDescent="0.45">
      <c r="A139" s="34"/>
      <c r="B139" s="33"/>
      <c r="C139" s="25"/>
      <c r="D139" s="27"/>
      <c r="E139" s="27"/>
      <c r="F139" s="29"/>
      <c r="G139" s="29"/>
      <c r="H139" s="29"/>
      <c r="I139" s="29"/>
      <c r="J139" s="2"/>
      <c r="K139" s="3"/>
      <c r="L139" s="4"/>
      <c r="M139" s="5"/>
      <c r="N139" s="1">
        <f t="shared" si="13"/>
        <v>0</v>
      </c>
      <c r="O139" t="e">
        <f t="shared" ca="1" si="14"/>
        <v>#NAME?</v>
      </c>
      <c r="P139" t="str">
        <f t="shared" si="15"/>
        <v xml:space="preserve">, </v>
      </c>
      <c r="Q139">
        <f t="shared" si="16"/>
        <v>6</v>
      </c>
    </row>
    <row r="140" spans="1:17" ht="13.5" customHeight="1" thickBot="1" x14ac:dyDescent="0.45">
      <c r="A140" s="34"/>
      <c r="B140" s="33"/>
      <c r="C140" s="25"/>
      <c r="D140" s="27"/>
      <c r="E140" s="27"/>
      <c r="F140" s="29"/>
      <c r="G140" s="29"/>
      <c r="H140" s="29"/>
      <c r="I140" s="29"/>
      <c r="J140" s="2"/>
      <c r="K140" s="3"/>
      <c r="L140" s="4"/>
      <c r="M140" s="5"/>
      <c r="N140" s="1">
        <f t="shared" si="13"/>
        <v>0</v>
      </c>
      <c r="O140" t="e">
        <f t="shared" ca="1" si="14"/>
        <v>#NAME?</v>
      </c>
      <c r="P140" t="str">
        <f t="shared" si="15"/>
        <v xml:space="preserve">, </v>
      </c>
      <c r="Q140">
        <f t="shared" si="16"/>
        <v>6</v>
      </c>
    </row>
    <row r="141" spans="1:17" ht="13.5" customHeight="1" thickBot="1" x14ac:dyDescent="0.45">
      <c r="A141" s="34"/>
      <c r="B141" s="33"/>
      <c r="C141" s="25"/>
      <c r="D141" s="27"/>
      <c r="E141" s="27"/>
      <c r="F141" s="29"/>
      <c r="G141" s="29"/>
      <c r="H141" s="29"/>
      <c r="I141" s="29"/>
      <c r="J141" s="2"/>
      <c r="K141" s="3"/>
      <c r="L141" s="4"/>
      <c r="M141" s="5"/>
      <c r="N141" s="1">
        <f t="shared" si="13"/>
        <v>0</v>
      </c>
      <c r="O141" t="e">
        <f t="shared" ca="1" si="14"/>
        <v>#NAME?</v>
      </c>
      <c r="P141" t="str">
        <f t="shared" si="15"/>
        <v xml:space="preserve">, </v>
      </c>
      <c r="Q141">
        <f t="shared" si="16"/>
        <v>6</v>
      </c>
    </row>
    <row r="142" spans="1:17" ht="13.5" customHeight="1" thickBot="1" x14ac:dyDescent="0.45">
      <c r="A142" s="34"/>
      <c r="B142" s="33"/>
      <c r="C142" s="25"/>
      <c r="D142" s="27"/>
      <c r="E142" s="27"/>
      <c r="F142" s="29"/>
      <c r="G142" s="29"/>
      <c r="H142" s="29"/>
      <c r="I142" s="29"/>
      <c r="J142" s="2"/>
      <c r="K142" s="3"/>
      <c r="L142" s="4"/>
      <c r="M142" s="5"/>
      <c r="N142" s="1">
        <f t="shared" si="13"/>
        <v>0</v>
      </c>
      <c r="O142" t="e">
        <f t="shared" ca="1" si="14"/>
        <v>#NAME?</v>
      </c>
      <c r="P142" t="str">
        <f t="shared" si="15"/>
        <v xml:space="preserve">, </v>
      </c>
      <c r="Q142">
        <f t="shared" si="16"/>
        <v>6</v>
      </c>
    </row>
    <row r="143" spans="1:17" ht="13.5" customHeight="1" thickBot="1" x14ac:dyDescent="0.45">
      <c r="A143" s="34"/>
      <c r="B143" s="33"/>
      <c r="C143" s="25"/>
      <c r="D143" s="27"/>
      <c r="E143" s="27"/>
      <c r="F143" s="29"/>
      <c r="G143" s="29"/>
      <c r="H143" s="29"/>
      <c r="I143" s="29"/>
      <c r="J143" s="2"/>
      <c r="K143" s="3"/>
      <c r="L143" s="4"/>
      <c r="M143" s="5"/>
      <c r="N143" s="1">
        <f t="shared" si="13"/>
        <v>0</v>
      </c>
      <c r="O143" t="e">
        <f t="shared" ca="1" si="14"/>
        <v>#NAME?</v>
      </c>
      <c r="P143" t="str">
        <f t="shared" si="15"/>
        <v xml:space="preserve">, </v>
      </c>
      <c r="Q143">
        <f t="shared" si="16"/>
        <v>6</v>
      </c>
    </row>
    <row r="144" spans="1:17" ht="13.5" customHeight="1" thickBot="1" x14ac:dyDescent="0.45">
      <c r="A144" s="34"/>
      <c r="B144" s="33"/>
      <c r="C144" s="25"/>
      <c r="D144" s="27"/>
      <c r="E144" s="27"/>
      <c r="F144" s="29"/>
      <c r="G144" s="29"/>
      <c r="H144" s="29"/>
      <c r="I144" s="29"/>
      <c r="J144" s="2"/>
      <c r="K144" s="3"/>
      <c r="L144" s="4"/>
      <c r="M144" s="5"/>
      <c r="N144" s="1">
        <f t="shared" si="13"/>
        <v>0</v>
      </c>
      <c r="O144" t="e">
        <f t="shared" ca="1" si="14"/>
        <v>#NAME?</v>
      </c>
      <c r="P144" t="str">
        <f t="shared" si="15"/>
        <v xml:space="preserve">, </v>
      </c>
      <c r="Q144">
        <f t="shared" si="16"/>
        <v>6</v>
      </c>
    </row>
    <row r="145" spans="1:17" ht="13.5" customHeight="1" thickBot="1" x14ac:dyDescent="0.45">
      <c r="A145" s="34"/>
      <c r="B145" s="33"/>
      <c r="C145" s="25"/>
      <c r="D145" s="27"/>
      <c r="E145" s="27"/>
      <c r="F145" s="29"/>
      <c r="G145" s="29"/>
      <c r="H145" s="29"/>
      <c r="I145" s="29"/>
      <c r="J145" s="2"/>
      <c r="K145" s="3"/>
      <c r="L145" s="4"/>
      <c r="M145" s="5"/>
      <c r="N145" s="1">
        <f t="shared" si="13"/>
        <v>0</v>
      </c>
      <c r="O145" t="e">
        <f t="shared" ca="1" si="14"/>
        <v>#NAME?</v>
      </c>
      <c r="P145" t="str">
        <f t="shared" si="15"/>
        <v xml:space="preserve">, </v>
      </c>
      <c r="Q145">
        <f t="shared" si="16"/>
        <v>6</v>
      </c>
    </row>
    <row r="146" spans="1:17" ht="13.5" customHeight="1" thickBot="1" x14ac:dyDescent="0.45">
      <c r="A146" s="34"/>
      <c r="B146" s="33"/>
      <c r="C146" s="25"/>
      <c r="D146" s="27"/>
      <c r="E146" s="27"/>
      <c r="F146" s="29"/>
      <c r="G146" s="29"/>
      <c r="H146" s="29"/>
      <c r="I146" s="29"/>
      <c r="J146" s="2"/>
      <c r="K146" s="3"/>
      <c r="L146" s="4"/>
      <c r="M146" s="5"/>
      <c r="N146" s="1">
        <f t="shared" si="13"/>
        <v>0</v>
      </c>
      <c r="O146" t="e">
        <f t="shared" ca="1" si="14"/>
        <v>#NAME?</v>
      </c>
      <c r="P146" t="str">
        <f t="shared" si="15"/>
        <v xml:space="preserve">, </v>
      </c>
      <c r="Q146">
        <f t="shared" si="16"/>
        <v>6</v>
      </c>
    </row>
    <row r="147" spans="1:17" ht="13.5" customHeight="1" thickBot="1" x14ac:dyDescent="0.45">
      <c r="A147" s="34"/>
      <c r="B147" s="33"/>
      <c r="C147" s="25"/>
      <c r="D147" s="27"/>
      <c r="E147" s="27"/>
      <c r="F147" s="29"/>
      <c r="G147" s="29"/>
      <c r="H147" s="29"/>
      <c r="I147" s="29"/>
      <c r="J147" s="2"/>
      <c r="K147" s="3"/>
      <c r="L147" s="4"/>
      <c r="M147" s="5"/>
      <c r="N147" s="1">
        <f t="shared" si="13"/>
        <v>0</v>
      </c>
      <c r="O147" t="e">
        <f t="shared" ca="1" si="14"/>
        <v>#NAME?</v>
      </c>
      <c r="P147" t="str">
        <f t="shared" si="15"/>
        <v xml:space="preserve">, </v>
      </c>
      <c r="Q147">
        <f t="shared" si="16"/>
        <v>6</v>
      </c>
    </row>
    <row r="148" spans="1:17" ht="13.5" customHeight="1" thickBot="1" x14ac:dyDescent="0.45">
      <c r="A148" s="34"/>
      <c r="B148" s="33"/>
      <c r="C148" s="25"/>
      <c r="D148" s="27"/>
      <c r="E148" s="27"/>
      <c r="F148" s="29"/>
      <c r="G148" s="29"/>
      <c r="H148" s="29"/>
      <c r="I148" s="29"/>
      <c r="J148" s="2"/>
      <c r="K148" s="3"/>
      <c r="L148" s="4"/>
      <c r="M148" s="5"/>
      <c r="N148" s="1">
        <f t="shared" si="13"/>
        <v>0</v>
      </c>
      <c r="O148" t="e">
        <f t="shared" ca="1" si="14"/>
        <v>#NAME?</v>
      </c>
      <c r="P148" t="str">
        <f t="shared" si="15"/>
        <v xml:space="preserve">, </v>
      </c>
      <c r="Q148">
        <f t="shared" si="16"/>
        <v>6</v>
      </c>
    </row>
    <row r="149" spans="1:17" ht="13.5" customHeight="1" thickBot="1" x14ac:dyDescent="0.45">
      <c r="A149" s="34"/>
      <c r="B149" s="33"/>
      <c r="C149" s="25"/>
      <c r="D149" s="27"/>
      <c r="E149" s="27"/>
      <c r="F149" s="29"/>
      <c r="G149" s="29"/>
      <c r="H149" s="29"/>
      <c r="I149" s="29"/>
      <c r="J149" s="2"/>
      <c r="K149" s="3"/>
      <c r="L149" s="4"/>
      <c r="M149" s="5"/>
      <c r="N149" s="1">
        <f t="shared" si="13"/>
        <v>0</v>
      </c>
      <c r="O149" t="e">
        <f t="shared" ca="1" si="14"/>
        <v>#NAME?</v>
      </c>
      <c r="P149" t="str">
        <f t="shared" si="15"/>
        <v xml:space="preserve">, </v>
      </c>
      <c r="Q149">
        <f t="shared" si="16"/>
        <v>6</v>
      </c>
    </row>
    <row r="150" spans="1:17" ht="13.5" customHeight="1" thickBot="1" x14ac:dyDescent="0.45">
      <c r="A150" s="34"/>
      <c r="B150" s="33"/>
      <c r="C150" s="25"/>
      <c r="D150" s="27"/>
      <c r="E150" s="27"/>
      <c r="F150" s="29"/>
      <c r="G150" s="29"/>
      <c r="H150" s="29"/>
      <c r="I150" s="29"/>
      <c r="J150" s="2"/>
      <c r="K150" s="3"/>
      <c r="L150" s="4"/>
      <c r="M150" s="5"/>
      <c r="N150" s="1">
        <f t="shared" si="13"/>
        <v>0</v>
      </c>
      <c r="O150" t="e">
        <f t="shared" ca="1" si="14"/>
        <v>#NAME?</v>
      </c>
      <c r="P150" t="str">
        <f t="shared" si="15"/>
        <v xml:space="preserve">, </v>
      </c>
      <c r="Q150">
        <f t="shared" si="16"/>
        <v>6</v>
      </c>
    </row>
    <row r="151" spans="1:17" ht="13.5" customHeight="1" thickBot="1" x14ac:dyDescent="0.45">
      <c r="A151" s="34"/>
      <c r="B151" s="33"/>
      <c r="C151" s="25"/>
      <c r="D151" s="27"/>
      <c r="E151" s="27"/>
      <c r="F151" s="29"/>
      <c r="G151" s="29"/>
      <c r="H151" s="29"/>
      <c r="I151" s="29"/>
      <c r="J151" s="2"/>
      <c r="K151" s="3"/>
      <c r="L151" s="4"/>
      <c r="M151" s="5"/>
      <c r="N151" s="1">
        <f t="shared" si="13"/>
        <v>0</v>
      </c>
      <c r="O151" t="e">
        <f t="shared" ca="1" si="14"/>
        <v>#NAME?</v>
      </c>
      <c r="P151" t="str">
        <f t="shared" si="15"/>
        <v xml:space="preserve">, </v>
      </c>
      <c r="Q151">
        <f t="shared" si="16"/>
        <v>6</v>
      </c>
    </row>
    <row r="152" spans="1:17" ht="13.5" customHeight="1" thickBot="1" x14ac:dyDescent="0.45">
      <c r="A152" s="34"/>
      <c r="B152" s="33"/>
      <c r="C152" s="25"/>
      <c r="D152" s="27"/>
      <c r="E152" s="27"/>
      <c r="F152" s="29"/>
      <c r="G152" s="29"/>
      <c r="H152" s="29"/>
      <c r="I152" s="29"/>
      <c r="J152" s="2"/>
      <c r="K152" s="3"/>
      <c r="L152" s="4"/>
      <c r="M152" s="5"/>
      <c r="N152" s="1">
        <f t="shared" si="13"/>
        <v>0</v>
      </c>
      <c r="O152" t="e">
        <f t="shared" ca="1" si="14"/>
        <v>#NAME?</v>
      </c>
      <c r="P152" t="str">
        <f t="shared" si="15"/>
        <v xml:space="preserve">, </v>
      </c>
      <c r="Q152">
        <f t="shared" si="16"/>
        <v>6</v>
      </c>
    </row>
    <row r="153" spans="1:17" ht="13.5" customHeight="1" thickBot="1" x14ac:dyDescent="0.45">
      <c r="A153" s="34"/>
      <c r="B153" s="33"/>
      <c r="C153" s="25"/>
      <c r="D153" s="27"/>
      <c r="E153" s="27"/>
      <c r="F153" s="29"/>
      <c r="G153" s="29"/>
      <c r="H153" s="29"/>
      <c r="I153" s="29"/>
      <c r="J153" s="2"/>
      <c r="K153" s="3"/>
      <c r="L153" s="4"/>
      <c r="M153" s="5"/>
      <c r="N153" s="1">
        <f t="shared" si="13"/>
        <v>0</v>
      </c>
      <c r="P153" t="str">
        <f t="shared" si="15"/>
        <v xml:space="preserve">, </v>
      </c>
      <c r="Q153">
        <f t="shared" si="16"/>
        <v>6</v>
      </c>
    </row>
    <row r="154" spans="1:17" ht="13.5" customHeight="1" thickBot="1" x14ac:dyDescent="0.45">
      <c r="A154" s="34"/>
      <c r="B154" s="33"/>
      <c r="C154" s="25"/>
      <c r="D154" s="27"/>
      <c r="E154" s="27"/>
      <c r="F154" s="29"/>
      <c r="G154" s="29"/>
      <c r="H154" s="29"/>
      <c r="I154" s="29"/>
      <c r="J154" s="2"/>
      <c r="K154" s="3"/>
      <c r="L154" s="4"/>
      <c r="M154" s="5"/>
      <c r="N154" s="1">
        <f t="shared" si="13"/>
        <v>0</v>
      </c>
      <c r="O154" t="e">
        <f t="shared" ref="O154:O164" ca="1" si="17">CheckDuplicateActivities(D154:I154, J154:M154)</f>
        <v>#NAME?</v>
      </c>
      <c r="P154" t="str">
        <f t="shared" si="15"/>
        <v xml:space="preserve">, </v>
      </c>
      <c r="Q154">
        <f t="shared" si="16"/>
        <v>6</v>
      </c>
    </row>
    <row r="155" spans="1:17" ht="13.5" customHeight="1" thickBot="1" x14ac:dyDescent="0.45">
      <c r="A155" s="33"/>
      <c r="B155" s="33"/>
      <c r="C155" s="25"/>
      <c r="D155" s="27"/>
      <c r="E155" s="27"/>
      <c r="F155" s="29"/>
      <c r="G155" s="29"/>
      <c r="H155" s="29"/>
      <c r="I155" s="29"/>
      <c r="J155" s="2"/>
      <c r="K155" s="3"/>
      <c r="L155" s="4"/>
      <c r="M155" s="5"/>
      <c r="N155" s="1">
        <f t="shared" si="13"/>
        <v>0</v>
      </c>
      <c r="O155" t="e">
        <f t="shared" ca="1" si="17"/>
        <v>#NAME?</v>
      </c>
      <c r="P155" t="str">
        <f t="shared" si="15"/>
        <v xml:space="preserve">, </v>
      </c>
      <c r="Q155">
        <f t="shared" si="16"/>
        <v>6</v>
      </c>
    </row>
    <row r="156" spans="1:17" ht="13.5" customHeight="1" thickBot="1" x14ac:dyDescent="0.45">
      <c r="A156" s="33"/>
      <c r="B156" s="33"/>
      <c r="C156" s="25"/>
      <c r="D156" s="27"/>
      <c r="E156" s="27"/>
      <c r="F156" s="29"/>
      <c r="G156" s="29"/>
      <c r="H156" s="29"/>
      <c r="I156" s="29"/>
      <c r="J156" s="2"/>
      <c r="K156" s="3"/>
      <c r="L156" s="4"/>
      <c r="M156" s="5"/>
      <c r="N156" s="1">
        <f t="shared" si="13"/>
        <v>0</v>
      </c>
      <c r="O156" t="e">
        <f t="shared" ca="1" si="17"/>
        <v>#NAME?</v>
      </c>
      <c r="P156" t="str">
        <f t="shared" si="15"/>
        <v xml:space="preserve">, </v>
      </c>
      <c r="Q156">
        <f t="shared" si="16"/>
        <v>6</v>
      </c>
    </row>
    <row r="157" spans="1:17" ht="13.5" customHeight="1" thickBot="1" x14ac:dyDescent="0.45">
      <c r="A157" s="33"/>
      <c r="B157" s="33"/>
      <c r="C157" s="25"/>
      <c r="D157" s="27"/>
      <c r="E157" s="27"/>
      <c r="F157" s="29"/>
      <c r="G157" s="29"/>
      <c r="H157" s="29"/>
      <c r="I157" s="29"/>
      <c r="J157" s="2"/>
      <c r="K157" s="3"/>
      <c r="L157" s="4"/>
      <c r="M157" s="5"/>
      <c r="N157" s="1">
        <f t="shared" si="13"/>
        <v>0</v>
      </c>
      <c r="O157" t="e">
        <f t="shared" ca="1" si="17"/>
        <v>#NAME?</v>
      </c>
      <c r="P157" t="str">
        <f t="shared" si="15"/>
        <v xml:space="preserve">, </v>
      </c>
      <c r="Q157">
        <f t="shared" si="16"/>
        <v>6</v>
      </c>
    </row>
    <row r="158" spans="1:17" ht="13.5" customHeight="1" thickBot="1" x14ac:dyDescent="0.45">
      <c r="A158" s="33"/>
      <c r="B158" s="33"/>
      <c r="C158" s="25"/>
      <c r="D158" s="27"/>
      <c r="E158" s="27"/>
      <c r="F158" s="29"/>
      <c r="G158" s="29"/>
      <c r="H158" s="29"/>
      <c r="I158" s="29"/>
      <c r="J158" s="2"/>
      <c r="K158" s="3"/>
      <c r="L158" s="4"/>
      <c r="M158" s="5"/>
      <c r="N158" s="1">
        <f t="shared" si="13"/>
        <v>0</v>
      </c>
      <c r="O158" t="e">
        <f t="shared" ca="1" si="17"/>
        <v>#NAME?</v>
      </c>
      <c r="P158" t="str">
        <f t="shared" si="15"/>
        <v xml:space="preserve">, </v>
      </c>
      <c r="Q158">
        <f t="shared" si="16"/>
        <v>6</v>
      </c>
    </row>
    <row r="159" spans="1:17" ht="13.5" customHeight="1" thickBot="1" x14ac:dyDescent="0.45">
      <c r="A159" s="33"/>
      <c r="B159" s="33"/>
      <c r="C159" s="25"/>
      <c r="D159" s="27"/>
      <c r="E159" s="27"/>
      <c r="F159" s="29"/>
      <c r="G159" s="29"/>
      <c r="H159" s="29"/>
      <c r="I159" s="29"/>
      <c r="J159" s="2"/>
      <c r="K159" s="3"/>
      <c r="L159" s="4"/>
      <c r="M159" s="5"/>
      <c r="N159" s="1">
        <f t="shared" si="13"/>
        <v>0</v>
      </c>
      <c r="O159" t="e">
        <f t="shared" ca="1" si="17"/>
        <v>#NAME?</v>
      </c>
      <c r="P159" t="str">
        <f t="shared" si="15"/>
        <v xml:space="preserve">, </v>
      </c>
      <c r="Q159">
        <f t="shared" si="16"/>
        <v>6</v>
      </c>
    </row>
    <row r="160" spans="1:17" ht="13.5" customHeight="1" thickBot="1" x14ac:dyDescent="0.45">
      <c r="A160" s="33"/>
      <c r="B160" s="33"/>
      <c r="C160" s="25"/>
      <c r="D160" s="27"/>
      <c r="E160" s="27"/>
      <c r="F160" s="29"/>
      <c r="G160" s="29"/>
      <c r="H160" s="29"/>
      <c r="I160" s="29"/>
      <c r="J160" s="2"/>
      <c r="K160" s="3"/>
      <c r="L160" s="4"/>
      <c r="M160" s="5"/>
      <c r="N160" s="1">
        <f t="shared" si="13"/>
        <v>0</v>
      </c>
      <c r="O160" t="e">
        <f t="shared" ca="1" si="17"/>
        <v>#NAME?</v>
      </c>
      <c r="P160" t="str">
        <f t="shared" si="15"/>
        <v xml:space="preserve">, </v>
      </c>
      <c r="Q160">
        <f t="shared" si="16"/>
        <v>6</v>
      </c>
    </row>
    <row r="161" spans="1:17" ht="13.5" customHeight="1" thickBot="1" x14ac:dyDescent="0.45">
      <c r="A161" s="33"/>
      <c r="B161" s="33"/>
      <c r="C161" s="25"/>
      <c r="D161" s="27"/>
      <c r="E161" s="27"/>
      <c r="F161" s="29"/>
      <c r="G161" s="29"/>
      <c r="H161" s="29"/>
      <c r="I161" s="29"/>
      <c r="J161" s="2"/>
      <c r="K161" s="3"/>
      <c r="L161" s="4"/>
      <c r="M161" s="5"/>
      <c r="N161" s="1">
        <f t="shared" si="13"/>
        <v>0</v>
      </c>
      <c r="O161" t="e">
        <f t="shared" ca="1" si="17"/>
        <v>#NAME?</v>
      </c>
      <c r="P161" t="str">
        <f t="shared" si="15"/>
        <v xml:space="preserve">, </v>
      </c>
      <c r="Q161">
        <f t="shared" si="16"/>
        <v>6</v>
      </c>
    </row>
    <row r="162" spans="1:17" ht="13.5" customHeight="1" thickBot="1" x14ac:dyDescent="0.45">
      <c r="A162" s="33"/>
      <c r="B162" s="33"/>
      <c r="C162" s="25"/>
      <c r="D162" s="27"/>
      <c r="E162" s="27"/>
      <c r="F162" s="29"/>
      <c r="G162" s="29"/>
      <c r="H162" s="29"/>
      <c r="I162" s="29"/>
      <c r="J162" s="2"/>
      <c r="K162" s="3"/>
      <c r="L162" s="4"/>
      <c r="M162" s="5"/>
      <c r="N162" s="1">
        <f t="shared" si="13"/>
        <v>0</v>
      </c>
      <c r="O162" t="e">
        <f t="shared" ca="1" si="17"/>
        <v>#NAME?</v>
      </c>
      <c r="P162" t="str">
        <f t="shared" si="15"/>
        <v xml:space="preserve">, </v>
      </c>
      <c r="Q162">
        <f t="shared" si="16"/>
        <v>6</v>
      </c>
    </row>
    <row r="163" spans="1:17" ht="13.5" customHeight="1" thickBot="1" x14ac:dyDescent="0.45">
      <c r="A163" s="33"/>
      <c r="B163" s="33"/>
      <c r="C163" s="25"/>
      <c r="D163" s="27"/>
      <c r="E163" s="27"/>
      <c r="F163" s="29"/>
      <c r="G163" s="29"/>
      <c r="H163" s="29"/>
      <c r="I163" s="29"/>
      <c r="J163" s="2"/>
      <c r="K163" s="3"/>
      <c r="L163" s="4"/>
      <c r="M163" s="5"/>
      <c r="N163" s="1">
        <f t="shared" si="13"/>
        <v>0</v>
      </c>
      <c r="O163" t="e">
        <f t="shared" ca="1" si="17"/>
        <v>#NAME?</v>
      </c>
      <c r="P163" t="str">
        <f t="shared" si="15"/>
        <v xml:space="preserve">, </v>
      </c>
      <c r="Q163">
        <f t="shared" si="16"/>
        <v>6</v>
      </c>
    </row>
    <row r="164" spans="1:17" ht="13.5" customHeight="1" thickBot="1" x14ac:dyDescent="0.45">
      <c r="A164" s="33"/>
      <c r="B164" s="33"/>
      <c r="C164" s="25"/>
      <c r="D164" s="27"/>
      <c r="E164" s="27"/>
      <c r="F164" s="29"/>
      <c r="G164" s="29"/>
      <c r="H164" s="29"/>
      <c r="I164" s="29"/>
      <c r="J164" s="2"/>
      <c r="K164" s="3"/>
      <c r="L164" s="4"/>
      <c r="M164" s="5"/>
      <c r="N164" s="1">
        <f t="shared" si="13"/>
        <v>0</v>
      </c>
      <c r="O164" t="e">
        <f t="shared" ca="1" si="17"/>
        <v>#NAME?</v>
      </c>
      <c r="P164" t="str">
        <f t="shared" si="15"/>
        <v xml:space="preserve">, </v>
      </c>
      <c r="Q164">
        <f t="shared" si="16"/>
        <v>6</v>
      </c>
    </row>
    <row r="165" spans="1:17" ht="13.5" customHeight="1" thickBot="1" x14ac:dyDescent="0.45">
      <c r="A165" s="33"/>
      <c r="B165" s="33"/>
      <c r="C165" s="25"/>
      <c r="D165" s="27"/>
      <c r="E165" s="27"/>
      <c r="F165" s="29"/>
      <c r="G165" s="29"/>
      <c r="H165" s="29"/>
      <c r="I165" s="29"/>
      <c r="J165" s="2"/>
      <c r="K165" s="3"/>
      <c r="L165" s="4"/>
      <c r="M165" s="5"/>
      <c r="N165" s="1">
        <f t="shared" si="13"/>
        <v>0</v>
      </c>
      <c r="Q165">
        <f t="shared" si="16"/>
        <v>6</v>
      </c>
    </row>
    <row r="166" spans="1:17" ht="13.5" customHeight="1" thickBot="1" x14ac:dyDescent="0.45">
      <c r="A166" s="33"/>
      <c r="B166" s="33"/>
      <c r="C166" s="25"/>
      <c r="D166" s="27"/>
      <c r="E166" s="27"/>
      <c r="F166" s="29"/>
      <c r="G166" s="29"/>
      <c r="H166" s="29"/>
      <c r="I166" s="29"/>
      <c r="J166" s="2"/>
      <c r="K166" s="3"/>
      <c r="L166" s="4"/>
      <c r="M166" s="5"/>
      <c r="N166" s="1">
        <f t="shared" si="13"/>
        <v>0</v>
      </c>
      <c r="Q166">
        <f t="shared" si="16"/>
        <v>6</v>
      </c>
    </row>
    <row r="167" spans="1:17" ht="13.5" customHeight="1" thickBot="1" x14ac:dyDescent="0.45">
      <c r="A167" s="33"/>
      <c r="B167" s="33"/>
      <c r="C167" s="25"/>
      <c r="D167" s="27"/>
      <c r="E167" s="27"/>
      <c r="F167" s="29"/>
      <c r="G167" s="29"/>
      <c r="H167" s="29"/>
      <c r="I167" s="29"/>
      <c r="J167" s="2"/>
      <c r="K167" s="3"/>
      <c r="L167" s="4"/>
      <c r="M167" s="5"/>
      <c r="N167" s="1">
        <f t="shared" si="13"/>
        <v>0</v>
      </c>
      <c r="Q167">
        <f t="shared" si="16"/>
        <v>6</v>
      </c>
    </row>
    <row r="168" spans="1:17" ht="13.5" customHeight="1" thickBot="1" x14ac:dyDescent="0.45">
      <c r="A168" s="33"/>
      <c r="B168" s="33"/>
      <c r="C168" s="25"/>
      <c r="D168" s="27"/>
      <c r="E168" s="27"/>
      <c r="F168" s="29"/>
      <c r="G168" s="29"/>
      <c r="H168" s="29"/>
      <c r="I168" s="29"/>
      <c r="J168" s="2"/>
      <c r="K168" s="3"/>
      <c r="L168" s="4"/>
      <c r="M168" s="5"/>
      <c r="N168" s="1">
        <f t="shared" si="13"/>
        <v>0</v>
      </c>
      <c r="Q168">
        <f t="shared" si="16"/>
        <v>6</v>
      </c>
    </row>
    <row r="169" spans="1:17" ht="13.5" customHeight="1" thickBot="1" x14ac:dyDescent="0.45">
      <c r="A169" s="33"/>
      <c r="B169" s="33"/>
      <c r="C169" s="25"/>
      <c r="D169" s="27"/>
      <c r="E169" s="27"/>
      <c r="F169" s="29"/>
      <c r="G169" s="29"/>
      <c r="H169" s="29"/>
      <c r="I169" s="29"/>
      <c r="J169" s="2"/>
      <c r="K169" s="3"/>
      <c r="L169" s="4"/>
      <c r="M169" s="5"/>
      <c r="N169" s="1">
        <f t="shared" si="13"/>
        <v>0</v>
      </c>
      <c r="Q169">
        <f t="shared" si="16"/>
        <v>6</v>
      </c>
    </row>
    <row r="170" spans="1:17" ht="13.5" customHeight="1" thickBot="1" x14ac:dyDescent="0.45">
      <c r="A170" s="33"/>
      <c r="B170" s="33"/>
      <c r="C170" s="25"/>
      <c r="D170" s="27"/>
      <c r="E170" s="27"/>
      <c r="F170" s="29"/>
      <c r="G170" s="29"/>
      <c r="H170" s="29"/>
      <c r="I170" s="29"/>
      <c r="J170" s="2"/>
      <c r="K170" s="3"/>
      <c r="L170" s="4"/>
      <c r="M170" s="5"/>
      <c r="N170" s="1">
        <f t="shared" si="13"/>
        <v>0</v>
      </c>
      <c r="Q170">
        <f t="shared" si="16"/>
        <v>6</v>
      </c>
    </row>
    <row r="171" spans="1:17" ht="13.5" customHeight="1" thickBot="1" x14ac:dyDescent="0.45">
      <c r="A171" s="33"/>
      <c r="B171" s="33"/>
      <c r="C171" s="25"/>
      <c r="D171" s="27"/>
      <c r="E171" s="27"/>
      <c r="F171" s="29"/>
      <c r="G171" s="29"/>
      <c r="H171" s="29"/>
      <c r="I171" s="29"/>
      <c r="J171" s="2"/>
      <c r="K171" s="3"/>
      <c r="L171" s="4"/>
      <c r="M171" s="5"/>
      <c r="N171" s="1">
        <f t="shared" si="13"/>
        <v>0</v>
      </c>
      <c r="Q171">
        <f t="shared" si="16"/>
        <v>6</v>
      </c>
    </row>
    <row r="172" spans="1:17" ht="13.5" customHeight="1" thickBot="1" x14ac:dyDescent="0.45">
      <c r="A172" s="33"/>
      <c r="B172" s="33"/>
      <c r="C172" s="25"/>
      <c r="D172" s="27"/>
      <c r="E172" s="27"/>
      <c r="F172" s="29"/>
      <c r="G172" s="29"/>
      <c r="H172" s="29"/>
      <c r="I172" s="29"/>
      <c r="J172" s="2"/>
      <c r="K172" s="3"/>
      <c r="L172" s="4"/>
      <c r="M172" s="5"/>
      <c r="N172" s="1">
        <f t="shared" si="13"/>
        <v>0</v>
      </c>
      <c r="Q172">
        <f t="shared" si="16"/>
        <v>6</v>
      </c>
    </row>
    <row r="173" spans="1:17" ht="13.5" customHeight="1" thickBot="1" x14ac:dyDescent="0.45">
      <c r="A173" s="33"/>
      <c r="B173" s="33"/>
      <c r="C173" s="25"/>
      <c r="D173" s="27"/>
      <c r="E173" s="27"/>
      <c r="F173" s="29"/>
      <c r="G173" s="29"/>
      <c r="H173" s="29"/>
      <c r="I173" s="29"/>
      <c r="J173" s="2"/>
      <c r="K173" s="3"/>
      <c r="L173" s="4"/>
      <c r="M173" s="5"/>
      <c r="N173" s="1">
        <f t="shared" si="13"/>
        <v>0</v>
      </c>
      <c r="Q173">
        <f t="shared" si="16"/>
        <v>6</v>
      </c>
    </row>
    <row r="174" spans="1:17" ht="13.5" customHeight="1" thickBot="1" x14ac:dyDescent="0.45">
      <c r="A174" s="33"/>
      <c r="B174" s="33"/>
      <c r="C174" s="25"/>
      <c r="D174" s="27"/>
      <c r="E174" s="27"/>
      <c r="F174" s="29"/>
      <c r="G174" s="29"/>
      <c r="H174" s="29"/>
      <c r="I174" s="29"/>
      <c r="J174" s="2"/>
      <c r="K174" s="3"/>
      <c r="L174" s="4"/>
      <c r="M174" s="5"/>
      <c r="N174" s="1">
        <f t="shared" si="13"/>
        <v>0</v>
      </c>
      <c r="Q174">
        <f t="shared" si="16"/>
        <v>6</v>
      </c>
    </row>
    <row r="175" spans="1:17" ht="13.5" customHeight="1" thickBot="1" x14ac:dyDescent="0.45">
      <c r="A175" s="33"/>
      <c r="B175" s="33"/>
      <c r="C175" s="25"/>
      <c r="D175" s="27"/>
      <c r="E175" s="27"/>
      <c r="F175" s="29"/>
      <c r="G175" s="29"/>
      <c r="H175" s="29"/>
      <c r="I175" s="29"/>
      <c r="J175" s="2"/>
      <c r="K175" s="3"/>
      <c r="L175" s="4"/>
      <c r="M175" s="5"/>
      <c r="N175" s="1">
        <f t="shared" si="13"/>
        <v>0</v>
      </c>
      <c r="Q175">
        <f t="shared" si="16"/>
        <v>6</v>
      </c>
    </row>
    <row r="176" spans="1:17" ht="13.5" customHeight="1" thickBot="1" x14ac:dyDescent="0.45">
      <c r="A176" s="33"/>
      <c r="B176" s="33"/>
      <c r="C176" s="25"/>
      <c r="D176" s="27"/>
      <c r="E176" s="27"/>
      <c r="F176" s="29"/>
      <c r="G176" s="29"/>
      <c r="H176" s="29"/>
      <c r="I176" s="29"/>
      <c r="J176" s="2"/>
      <c r="K176" s="3"/>
      <c r="L176" s="4"/>
      <c r="M176" s="5"/>
      <c r="N176" s="1">
        <f t="shared" si="13"/>
        <v>0</v>
      </c>
      <c r="Q176">
        <f t="shared" si="16"/>
        <v>6</v>
      </c>
    </row>
    <row r="177" spans="1:17" ht="13.5" customHeight="1" thickBot="1" x14ac:dyDescent="0.45">
      <c r="A177" s="33"/>
      <c r="B177" s="33"/>
      <c r="C177" s="25"/>
      <c r="D177" s="27"/>
      <c r="E177" s="27"/>
      <c r="F177" s="29"/>
      <c r="G177" s="29"/>
      <c r="H177" s="29"/>
      <c r="I177" s="29"/>
      <c r="J177" s="2"/>
      <c r="K177" s="3"/>
      <c r="L177" s="4"/>
      <c r="M177" s="5"/>
      <c r="N177" s="1">
        <f t="shared" si="13"/>
        <v>0</v>
      </c>
      <c r="Q177">
        <f t="shared" si="16"/>
        <v>6</v>
      </c>
    </row>
    <row r="178" spans="1:17" ht="13.5" customHeight="1" thickBot="1" x14ac:dyDescent="0.45">
      <c r="A178" s="33"/>
      <c r="B178" s="33"/>
      <c r="C178" s="25"/>
      <c r="D178" s="27"/>
      <c r="E178" s="27"/>
      <c r="F178" s="29"/>
      <c r="G178" s="29"/>
      <c r="H178" s="29"/>
      <c r="I178" s="29"/>
      <c r="J178" s="2"/>
      <c r="K178" s="3"/>
      <c r="L178" s="4"/>
      <c r="M178" s="5"/>
      <c r="N178" s="1">
        <f t="shared" si="13"/>
        <v>0</v>
      </c>
      <c r="Q178">
        <f t="shared" si="16"/>
        <v>6</v>
      </c>
    </row>
    <row r="179" spans="1:17" ht="13.5" customHeight="1" thickBot="1" x14ac:dyDescent="0.45">
      <c r="A179" s="33"/>
      <c r="B179" s="33"/>
      <c r="C179" s="25"/>
      <c r="D179" s="27"/>
      <c r="E179" s="27"/>
      <c r="F179" s="29"/>
      <c r="G179" s="29"/>
      <c r="H179" s="29"/>
      <c r="I179" s="29"/>
      <c r="J179" s="2"/>
      <c r="K179" s="3"/>
      <c r="L179" s="4"/>
      <c r="M179" s="5"/>
      <c r="N179" s="1">
        <f t="shared" si="13"/>
        <v>0</v>
      </c>
      <c r="Q179">
        <f t="shared" si="16"/>
        <v>6</v>
      </c>
    </row>
    <row r="180" spans="1:17" ht="13.5" customHeight="1" thickBot="1" x14ac:dyDescent="0.45">
      <c r="A180" s="33"/>
      <c r="B180" s="33"/>
      <c r="C180" s="25"/>
      <c r="D180" s="27"/>
      <c r="E180" s="27"/>
      <c r="F180" s="29"/>
      <c r="G180" s="29"/>
      <c r="H180" s="29"/>
      <c r="I180" s="29"/>
      <c r="J180" s="2"/>
      <c r="K180" s="3"/>
      <c r="L180" s="4"/>
      <c r="M180" s="5"/>
      <c r="N180" s="1">
        <f t="shared" si="13"/>
        <v>0</v>
      </c>
      <c r="O180" t="e">
        <f t="shared" ref="O180:O191" ca="1" si="18">CheckDuplicateActivities(D180:I180, J180:M180)</f>
        <v>#NAME?</v>
      </c>
      <c r="P180" t="str">
        <f t="shared" ref="P180:P189" si="19">CONCATENATE(A180,", ",B180)</f>
        <v xml:space="preserve">, </v>
      </c>
      <c r="Q180">
        <f t="shared" si="16"/>
        <v>6</v>
      </c>
    </row>
    <row r="181" spans="1:17" ht="13.5" customHeight="1" thickBot="1" x14ac:dyDescent="0.45">
      <c r="A181" s="33"/>
      <c r="B181" s="33"/>
      <c r="C181" s="25"/>
      <c r="D181" s="27"/>
      <c r="E181" s="27"/>
      <c r="F181" s="29"/>
      <c r="G181" s="29"/>
      <c r="H181" s="29"/>
      <c r="I181" s="29"/>
      <c r="J181" s="2"/>
      <c r="K181" s="3"/>
      <c r="L181" s="4"/>
      <c r="M181" s="5"/>
      <c r="N181" s="1">
        <f t="shared" si="13"/>
        <v>0</v>
      </c>
      <c r="O181" t="e">
        <f t="shared" ca="1" si="18"/>
        <v>#NAME?</v>
      </c>
      <c r="P181" t="str">
        <f t="shared" si="19"/>
        <v xml:space="preserve">, </v>
      </c>
      <c r="Q181">
        <f t="shared" si="16"/>
        <v>6</v>
      </c>
    </row>
    <row r="182" spans="1:17" ht="13.5" customHeight="1" thickBot="1" x14ac:dyDescent="0.45">
      <c r="A182" s="33"/>
      <c r="B182" s="33"/>
      <c r="C182" s="25"/>
      <c r="D182" s="27"/>
      <c r="E182" s="27"/>
      <c r="F182" s="29"/>
      <c r="G182" s="29"/>
      <c r="H182" s="29"/>
      <c r="I182" s="29"/>
      <c r="J182" s="2"/>
      <c r="K182" s="3"/>
      <c r="L182" s="4"/>
      <c r="M182" s="5"/>
      <c r="N182" s="1">
        <f t="shared" si="13"/>
        <v>0</v>
      </c>
      <c r="O182" t="e">
        <f t="shared" ca="1" si="18"/>
        <v>#NAME?</v>
      </c>
      <c r="P182" t="str">
        <f t="shared" si="19"/>
        <v xml:space="preserve">, </v>
      </c>
      <c r="Q182">
        <f t="shared" si="16"/>
        <v>6</v>
      </c>
    </row>
    <row r="183" spans="1:17" ht="13.5" customHeight="1" thickBot="1" x14ac:dyDescent="0.45">
      <c r="A183" s="33"/>
      <c r="B183" s="33"/>
      <c r="C183" s="25"/>
      <c r="D183" s="27"/>
      <c r="E183" s="27"/>
      <c r="F183" s="29"/>
      <c r="G183" s="29"/>
      <c r="H183" s="29"/>
      <c r="I183" s="29"/>
      <c r="J183" s="2"/>
      <c r="K183" s="3"/>
      <c r="L183" s="4"/>
      <c r="M183" s="5"/>
      <c r="N183" s="1">
        <f t="shared" si="13"/>
        <v>0</v>
      </c>
      <c r="O183" t="e">
        <f t="shared" ca="1" si="18"/>
        <v>#NAME?</v>
      </c>
      <c r="P183" t="str">
        <f t="shared" si="19"/>
        <v xml:space="preserve">, </v>
      </c>
      <c r="Q183">
        <f t="shared" si="16"/>
        <v>6</v>
      </c>
    </row>
    <row r="184" spans="1:17" ht="13.5" customHeight="1" thickBot="1" x14ac:dyDescent="0.45">
      <c r="A184" s="33"/>
      <c r="B184" s="33"/>
      <c r="C184" s="25"/>
      <c r="D184" s="27"/>
      <c r="E184" s="27"/>
      <c r="F184" s="29"/>
      <c r="G184" s="29"/>
      <c r="H184" s="29"/>
      <c r="I184" s="29"/>
      <c r="J184" s="2"/>
      <c r="K184" s="3"/>
      <c r="L184" s="4"/>
      <c r="M184" s="5"/>
      <c r="N184" s="1">
        <f t="shared" si="13"/>
        <v>0</v>
      </c>
      <c r="O184" t="e">
        <f t="shared" ca="1" si="18"/>
        <v>#NAME?</v>
      </c>
      <c r="P184" t="str">
        <f t="shared" si="19"/>
        <v xml:space="preserve">, </v>
      </c>
      <c r="Q184">
        <f t="shared" si="16"/>
        <v>6</v>
      </c>
    </row>
    <row r="185" spans="1:17" ht="13.5" customHeight="1" thickBot="1" x14ac:dyDescent="0.45">
      <c r="A185" s="33"/>
      <c r="B185" s="33"/>
      <c r="C185" s="25"/>
      <c r="D185" s="27"/>
      <c r="E185" s="27"/>
      <c r="F185" s="29"/>
      <c r="G185" s="29"/>
      <c r="H185" s="29"/>
      <c r="I185" s="29"/>
      <c r="J185" s="2"/>
      <c r="K185" s="3"/>
      <c r="L185" s="4"/>
      <c r="M185" s="5"/>
      <c r="N185" s="1">
        <f t="shared" si="13"/>
        <v>0</v>
      </c>
      <c r="O185" t="e">
        <f t="shared" ca="1" si="18"/>
        <v>#NAME?</v>
      </c>
      <c r="P185" t="str">
        <f t="shared" si="19"/>
        <v xml:space="preserve">, </v>
      </c>
      <c r="Q185">
        <f t="shared" si="16"/>
        <v>6</v>
      </c>
    </row>
    <row r="186" spans="1:17" ht="13.5" customHeight="1" thickBot="1" x14ac:dyDescent="0.45">
      <c r="A186" s="33"/>
      <c r="B186" s="33"/>
      <c r="C186" s="25"/>
      <c r="D186" s="27"/>
      <c r="E186" s="27"/>
      <c r="F186" s="29"/>
      <c r="G186" s="29"/>
      <c r="H186" s="29"/>
      <c r="I186" s="29"/>
      <c r="J186" s="2"/>
      <c r="K186" s="3"/>
      <c r="L186" s="4"/>
      <c r="M186" s="5"/>
      <c r="N186" s="1">
        <f t="shared" si="13"/>
        <v>0</v>
      </c>
      <c r="O186" t="e">
        <f t="shared" ca="1" si="18"/>
        <v>#NAME?</v>
      </c>
      <c r="P186" t="str">
        <f t="shared" si="19"/>
        <v xml:space="preserve">, </v>
      </c>
      <c r="Q186">
        <f t="shared" si="16"/>
        <v>6</v>
      </c>
    </row>
    <row r="187" spans="1:17" ht="13.5" customHeight="1" thickBot="1" x14ac:dyDescent="0.45">
      <c r="A187" s="33"/>
      <c r="B187" s="33"/>
      <c r="C187" s="25"/>
      <c r="D187" s="27"/>
      <c r="E187" s="27"/>
      <c r="F187" s="29"/>
      <c r="G187" s="29"/>
      <c r="H187" s="29"/>
      <c r="I187" s="29"/>
      <c r="J187" s="2"/>
      <c r="K187" s="3"/>
      <c r="L187" s="4"/>
      <c r="M187" s="5"/>
      <c r="N187" s="1">
        <f t="shared" si="13"/>
        <v>0</v>
      </c>
      <c r="O187" t="e">
        <f t="shared" ca="1" si="18"/>
        <v>#NAME?</v>
      </c>
      <c r="P187" t="str">
        <f t="shared" si="19"/>
        <v xml:space="preserve">, </v>
      </c>
      <c r="Q187">
        <f t="shared" si="16"/>
        <v>6</v>
      </c>
    </row>
    <row r="188" spans="1:17" ht="13.5" customHeight="1" thickBot="1" x14ac:dyDescent="0.45">
      <c r="A188" s="33"/>
      <c r="B188" s="33"/>
      <c r="C188" s="25"/>
      <c r="D188" s="27"/>
      <c r="E188" s="27"/>
      <c r="F188" s="29"/>
      <c r="G188" s="29"/>
      <c r="H188" s="29"/>
      <c r="I188" s="29"/>
      <c r="J188" s="2"/>
      <c r="K188" s="3"/>
      <c r="L188" s="4"/>
      <c r="M188" s="5"/>
      <c r="N188" s="1">
        <f t="shared" si="13"/>
        <v>0</v>
      </c>
      <c r="O188" t="e">
        <f t="shared" ca="1" si="18"/>
        <v>#NAME?</v>
      </c>
      <c r="P188" t="str">
        <f t="shared" si="19"/>
        <v xml:space="preserve">, </v>
      </c>
      <c r="Q188">
        <f t="shared" si="16"/>
        <v>6</v>
      </c>
    </row>
    <row r="189" spans="1:17" ht="13.5" customHeight="1" thickBot="1" x14ac:dyDescent="0.45">
      <c r="A189" s="33"/>
      <c r="B189" s="33"/>
      <c r="C189" s="25"/>
      <c r="D189" s="27"/>
      <c r="E189" s="27"/>
      <c r="F189" s="29"/>
      <c r="G189" s="29"/>
      <c r="H189" s="29"/>
      <c r="I189" s="29"/>
      <c r="J189" s="2"/>
      <c r="K189" s="3"/>
      <c r="L189" s="4"/>
      <c r="M189" s="5"/>
      <c r="N189" s="1">
        <f t="shared" si="13"/>
        <v>0</v>
      </c>
      <c r="O189" t="e">
        <f t="shared" ca="1" si="18"/>
        <v>#NAME?</v>
      </c>
      <c r="P189" t="str">
        <f t="shared" si="19"/>
        <v xml:space="preserve">, </v>
      </c>
      <c r="Q189">
        <f t="shared" si="16"/>
        <v>6</v>
      </c>
    </row>
    <row r="190" spans="1:17" ht="13.5" customHeight="1" thickBot="1" x14ac:dyDescent="0.45">
      <c r="A190" s="35"/>
      <c r="B190" s="35"/>
      <c r="C190" s="36"/>
      <c r="D190" s="27"/>
      <c r="E190" s="27"/>
      <c r="F190" s="29"/>
      <c r="G190" s="29"/>
      <c r="H190" s="29"/>
      <c r="I190" s="29"/>
      <c r="J190" s="2"/>
      <c r="K190" s="3"/>
      <c r="L190" s="4"/>
      <c r="M190" s="5"/>
      <c r="N190" s="1">
        <f t="shared" si="13"/>
        <v>0</v>
      </c>
      <c r="O190" t="str">
        <f t="shared" si="18"/>
        <v/>
      </c>
      <c r="P190" t="str">
        <f t="shared" ref="P190:P199" si="20">CONCATENATE(A190,", ",B190)</f>
        <v xml:space="preserve">, </v>
      </c>
      <c r="Q190">
        <f t="shared" si="16"/>
        <v>6</v>
      </c>
    </row>
    <row r="191" spans="1:17" ht="13.5" customHeight="1" thickBot="1" x14ac:dyDescent="0.45">
      <c r="A191" s="35"/>
      <c r="B191" s="35"/>
      <c r="C191" s="36"/>
      <c r="D191" s="27"/>
      <c r="E191" s="27"/>
      <c r="F191" s="29"/>
      <c r="G191" s="29"/>
      <c r="H191" s="29"/>
      <c r="I191" s="29"/>
      <c r="J191" s="2"/>
      <c r="K191" s="3"/>
      <c r="L191" s="4"/>
      <c r="M191" s="5"/>
      <c r="N191" s="1">
        <f t="shared" si="13"/>
        <v>0</v>
      </c>
      <c r="O191" t="str">
        <f t="shared" si="18"/>
        <v/>
      </c>
      <c r="P191" t="str">
        <f t="shared" si="20"/>
        <v xml:space="preserve">, </v>
      </c>
      <c r="Q191">
        <f t="shared" si="16"/>
        <v>6</v>
      </c>
    </row>
    <row r="192" spans="1:17" ht="13.5" customHeight="1" thickBot="1" x14ac:dyDescent="0.45">
      <c r="A192" s="35"/>
      <c r="B192" s="35"/>
      <c r="C192" s="36"/>
      <c r="D192" s="28"/>
      <c r="E192" s="28"/>
      <c r="F192" s="30"/>
      <c r="G192" s="30"/>
      <c r="H192" s="30"/>
      <c r="I192" s="30"/>
      <c r="J192" s="2"/>
      <c r="K192" s="3"/>
      <c r="L192" s="4"/>
      <c r="M192" s="5"/>
      <c r="N192" s="1">
        <f t="shared" si="13"/>
        <v>0</v>
      </c>
      <c r="O192" t="str">
        <f t="shared" ref="O192:O196" si="21">CheckDuplicateActivities(D192:I192, J192:M192)</f>
        <v/>
      </c>
      <c r="P192" t="str">
        <f t="shared" si="20"/>
        <v xml:space="preserve">, </v>
      </c>
      <c r="Q192">
        <f t="shared" si="16"/>
        <v>6</v>
      </c>
    </row>
    <row r="193" spans="1:17" ht="13.5" customHeight="1" thickBot="1" x14ac:dyDescent="0.45">
      <c r="A193" s="35"/>
      <c r="B193" s="35"/>
      <c r="C193" s="36"/>
      <c r="D193" s="28"/>
      <c r="E193" s="28"/>
      <c r="F193" s="30"/>
      <c r="G193" s="30"/>
      <c r="H193" s="30"/>
      <c r="I193" s="30"/>
      <c r="J193" s="2"/>
      <c r="K193" s="3"/>
      <c r="L193" s="4"/>
      <c r="M193" s="5"/>
      <c r="N193" s="1">
        <f t="shared" si="13"/>
        <v>0</v>
      </c>
      <c r="O193" t="str">
        <f t="shared" si="21"/>
        <v/>
      </c>
      <c r="P193" t="str">
        <f t="shared" si="20"/>
        <v xml:space="preserve">, </v>
      </c>
      <c r="Q193">
        <f t="shared" si="16"/>
        <v>6</v>
      </c>
    </row>
    <row r="194" spans="1:17" ht="13.5" customHeight="1" thickBot="1" x14ac:dyDescent="0.45">
      <c r="A194" s="35"/>
      <c r="B194" s="35"/>
      <c r="C194" s="36"/>
      <c r="D194" s="28"/>
      <c r="E194" s="28"/>
      <c r="F194" s="30"/>
      <c r="G194" s="30"/>
      <c r="H194" s="30"/>
      <c r="I194" s="30"/>
      <c r="J194" s="2"/>
      <c r="K194" s="3"/>
      <c r="L194" s="4"/>
      <c r="M194" s="5"/>
      <c r="N194" s="1">
        <f t="shared" ref="N194:N199" si="22">4-COUNTBLANK(J194:M194)</f>
        <v>0</v>
      </c>
      <c r="O194" t="str">
        <f t="shared" si="21"/>
        <v/>
      </c>
      <c r="P194" t="str">
        <f t="shared" si="20"/>
        <v xml:space="preserve">, </v>
      </c>
      <c r="Q194">
        <f t="shared" si="16"/>
        <v>6</v>
      </c>
    </row>
    <row r="195" spans="1:17" ht="13.5" customHeight="1" thickBot="1" x14ac:dyDescent="0.45">
      <c r="A195" s="35"/>
      <c r="B195" s="35"/>
      <c r="C195" s="36"/>
      <c r="D195" s="28"/>
      <c r="E195" s="28"/>
      <c r="F195" s="30"/>
      <c r="G195" s="30"/>
      <c r="H195" s="30"/>
      <c r="I195" s="30"/>
      <c r="J195" s="2"/>
      <c r="K195" s="3"/>
      <c r="L195" s="4"/>
      <c r="M195" s="5"/>
      <c r="N195" s="1">
        <f t="shared" si="22"/>
        <v>0</v>
      </c>
      <c r="O195" t="str">
        <f t="shared" si="21"/>
        <v/>
      </c>
      <c r="P195" t="str">
        <f t="shared" si="20"/>
        <v xml:space="preserve">, </v>
      </c>
      <c r="Q195">
        <f t="shared" ref="Q195:Q199" si="23">COUNTBLANK(D195:I195)</f>
        <v>6</v>
      </c>
    </row>
    <row r="196" spans="1:17" ht="13.5" customHeight="1" thickBot="1" x14ac:dyDescent="0.45">
      <c r="A196" s="35"/>
      <c r="B196" s="35"/>
      <c r="C196" s="36"/>
      <c r="D196" s="28"/>
      <c r="E196" s="28"/>
      <c r="F196" s="30"/>
      <c r="G196" s="30"/>
      <c r="H196" s="30"/>
      <c r="I196" s="30"/>
      <c r="J196" s="2"/>
      <c r="K196" s="3"/>
      <c r="L196" s="4"/>
      <c r="M196" s="5"/>
      <c r="N196" s="1">
        <f t="shared" si="22"/>
        <v>0</v>
      </c>
      <c r="O196" t="str">
        <f t="shared" si="21"/>
        <v/>
      </c>
      <c r="P196" t="str">
        <f t="shared" si="20"/>
        <v xml:space="preserve">, </v>
      </c>
      <c r="Q196">
        <f t="shared" si="23"/>
        <v>6</v>
      </c>
    </row>
    <row r="197" spans="1:17" ht="13.5" customHeight="1" thickBot="1" x14ac:dyDescent="0.45">
      <c r="A197" s="35"/>
      <c r="B197" s="35"/>
      <c r="C197" s="36"/>
      <c r="D197" s="28"/>
      <c r="E197" s="28"/>
      <c r="F197" s="30"/>
      <c r="G197" s="30"/>
      <c r="H197" s="30"/>
      <c r="I197" s="30"/>
      <c r="J197" s="2"/>
      <c r="K197" s="3"/>
      <c r="L197" s="4"/>
      <c r="M197" s="5"/>
      <c r="N197" s="1">
        <f t="shared" si="22"/>
        <v>0</v>
      </c>
      <c r="O197" t="str">
        <f>CheckDuplicateActivities(D197:I197, J197:M197)</f>
        <v/>
      </c>
      <c r="P197" t="str">
        <f t="shared" si="20"/>
        <v xml:space="preserve">, </v>
      </c>
      <c r="Q197">
        <f t="shared" si="23"/>
        <v>6</v>
      </c>
    </row>
    <row r="198" spans="1:17" ht="13.5" customHeight="1" thickBot="1" x14ac:dyDescent="0.45">
      <c r="A198" s="32"/>
      <c r="B198" s="32"/>
      <c r="C198" s="26"/>
      <c r="D198" s="28"/>
      <c r="E198" s="28"/>
      <c r="F198" s="30"/>
      <c r="G198" s="30"/>
      <c r="H198" s="30"/>
      <c r="I198" s="30"/>
      <c r="J198" s="2"/>
      <c r="K198" s="3"/>
      <c r="L198" s="4"/>
      <c r="M198" s="5"/>
      <c r="N198" s="1">
        <f t="shared" si="22"/>
        <v>0</v>
      </c>
      <c r="O198" t="str">
        <f>CheckDuplicateActivities(D198:I198, J198:M198)</f>
        <v/>
      </c>
      <c r="P198" t="str">
        <f t="shared" si="20"/>
        <v xml:space="preserve">, </v>
      </c>
      <c r="Q198">
        <f t="shared" si="23"/>
        <v>6</v>
      </c>
    </row>
    <row r="199" spans="1:17" ht="13.5" customHeight="1" thickBot="1" x14ac:dyDescent="0.45">
      <c r="A199" s="32"/>
      <c r="B199" s="32"/>
      <c r="C199" s="26"/>
      <c r="D199" s="28"/>
      <c r="E199" s="28"/>
      <c r="F199" s="30"/>
      <c r="G199" s="30"/>
      <c r="H199" s="30"/>
      <c r="I199" s="30"/>
      <c r="J199" s="2"/>
      <c r="K199" s="3"/>
      <c r="L199" s="4"/>
      <c r="M199" s="5"/>
      <c r="N199" s="1">
        <f t="shared" si="22"/>
        <v>0</v>
      </c>
      <c r="O199" t="str">
        <f>CheckDuplicateActivities(D199:I199, J199:M199)</f>
        <v/>
      </c>
      <c r="P199" t="str">
        <f t="shared" si="20"/>
        <v xml:space="preserve">, </v>
      </c>
      <c r="Q199">
        <f t="shared" si="23"/>
        <v>6</v>
      </c>
    </row>
    <row r="200" spans="1:17" ht="12.75" customHeight="1" x14ac:dyDescent="0.4">
      <c r="A200" s="6"/>
      <c r="B200" s="6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1:17" ht="12.75" customHeight="1" x14ac:dyDescent="0.4">
      <c r="B201" s="63" t="s">
        <v>43</v>
      </c>
      <c r="C201" s="63"/>
      <c r="E201" s="7" t="s">
        <v>44</v>
      </c>
      <c r="G201" t="s">
        <v>45</v>
      </c>
      <c r="I201" s="7" t="s">
        <v>46</v>
      </c>
      <c r="N201" s="8" t="s">
        <v>47</v>
      </c>
    </row>
    <row r="202" spans="1:17" ht="12.75" customHeight="1" x14ac:dyDescent="0.4">
      <c r="A202">
        <v>1</v>
      </c>
      <c r="B202" s="1" t="str">
        <f>Activities!A2</f>
        <v>art</v>
      </c>
      <c r="C202" s="1">
        <f>'Camper Activity Choices'!$E202+((1/2)*$I202)</f>
        <v>5.5</v>
      </c>
      <c r="E202" s="1">
        <f>COUNTIF('Camper Activity Choices'!D$2:E$199,Activities!A2)</f>
        <v>4</v>
      </c>
      <c r="G202">
        <f>Activities!B2</f>
        <v>25</v>
      </c>
      <c r="I202" s="1">
        <f>COUNTIF(F$2:I$199,Activities!A2)</f>
        <v>3</v>
      </c>
      <c r="J202" s="1" t="str">
        <f>IF(Activities!C2="Yes",Activities!$A2&amp;" ("&amp;COUNTIF(J$2:J$199,Activities!$A2)&amp;"/"&amp;Activities!$B2&amp;")","")</f>
        <v>art (0/25)</v>
      </c>
      <c r="K202" s="1" t="str">
        <f>IF(Activities!D2="Yes",Activities!$A2&amp;" ("&amp;COUNTIF(K$2:K$199,Activities!$A2)&amp;"/"&amp;Activities!$B2&amp;")","")</f>
        <v>art (0/25)</v>
      </c>
      <c r="L202" s="1" t="str">
        <f>IF(Activities!E2="Yes",Activities!$A2&amp;" ("&amp;COUNTIF(L$2:L$199,Activities!$A2)&amp;"/"&amp;Activities!$B2&amp;")","")</f>
        <v>art (0/25)</v>
      </c>
      <c r="M202" s="1" t="str">
        <f>IF(Activities!F2="Yes",Activities!$A2&amp;" ("&amp;COUNTIF(M$2:M$199,Activities!$A2)&amp;"/"&amp;Activities!$B2&amp;")","")</f>
        <v>art (0/25)</v>
      </c>
      <c r="N202" s="1">
        <f>COUNTIF(D$2:I$199,Activities!A2)</f>
        <v>7</v>
      </c>
    </row>
    <row r="203" spans="1:17" ht="12.75" customHeight="1" x14ac:dyDescent="0.4">
      <c r="A203">
        <v>1</v>
      </c>
      <c r="B203" s="1" t="str">
        <f>Activities!A3</f>
        <v>arch</v>
      </c>
      <c r="C203" s="1">
        <f>'Camper Activity Choices'!$E203+((1/2)*$I203)</f>
        <v>3</v>
      </c>
      <c r="E203" s="1">
        <f>COUNTIF('Camper Activity Choices'!D$2:E$199,Activities!A3)</f>
        <v>2</v>
      </c>
      <c r="G203">
        <f>Activities!B3</f>
        <v>15</v>
      </c>
      <c r="I203" s="1">
        <f>COUNTIF(F$2:I$199,Activities!A3)</f>
        <v>2</v>
      </c>
      <c r="J203" s="1" t="str">
        <f>IF(Activities!C3="Yes",Activities!$A3&amp;" ("&amp;COUNTIF(J$2:J$199,Activities!$A3)&amp;"/"&amp;Activities!$B3&amp;")","")</f>
        <v>arch (0/15)</v>
      </c>
      <c r="K203" s="1" t="str">
        <f>IF(Activities!D3="Yes",Activities!$A3&amp;" ("&amp;COUNTIF(K$2:K$199,Activities!$A3)&amp;"/"&amp;Activities!$B3&amp;")","")</f>
        <v>arch (0/15)</v>
      </c>
      <c r="L203" s="1" t="str">
        <f>IF(Activities!E3="Yes",Activities!$A3&amp;" ("&amp;COUNTIF(L$2:L$199,Activities!$A3)&amp;"/"&amp;Activities!$B3&amp;")","")</f>
        <v>arch (0/15)</v>
      </c>
      <c r="M203" s="1" t="str">
        <f>IF(Activities!F3="Yes",Activities!$A3&amp;" ("&amp;COUNTIF(M$2:M$199,Activities!$A3)&amp;"/"&amp;Activities!$B3&amp;")","")</f>
        <v>arch (0/15)</v>
      </c>
      <c r="N203" s="1">
        <f>COUNTIF(D$2:I$199,Activities!A3)</f>
        <v>4</v>
      </c>
    </row>
    <row r="204" spans="1:17" ht="12.75" customHeight="1" x14ac:dyDescent="0.4">
      <c r="A204">
        <v>1</v>
      </c>
      <c r="B204" s="1" t="str">
        <f>Activities!A4</f>
        <v>ath</v>
      </c>
      <c r="C204" s="1">
        <f>'Camper Activity Choices'!$E204+((1/2)*$I204)</f>
        <v>0.5</v>
      </c>
      <c r="E204" s="1">
        <f>COUNTIF('Camper Activity Choices'!D$2:E$199,Activities!A4)</f>
        <v>0</v>
      </c>
      <c r="G204">
        <f>Activities!B4</f>
        <v>30</v>
      </c>
      <c r="I204" s="1">
        <f>COUNTIF(F$2:I$199,Activities!A4)</f>
        <v>1</v>
      </c>
      <c r="J204" s="1" t="str">
        <f>IF(Activities!C4="Yes",Activities!$A4&amp;" ("&amp;COUNTIF(J$2:J$199,Activities!$A4)&amp;"/"&amp;Activities!$B4&amp;")","")</f>
        <v>ath (0/30)</v>
      </c>
      <c r="K204" s="1" t="str">
        <f>IF(Activities!D4="Yes",Activities!$A4&amp;" ("&amp;COUNTIF(K$2:K$199,Activities!$A4)&amp;"/"&amp;Activities!$B4&amp;")","")</f>
        <v>ath (0/30)</v>
      </c>
      <c r="L204" s="1" t="str">
        <f>IF(Activities!E4="Yes",Activities!$A4&amp;" ("&amp;COUNTIF(L$2:L$199,Activities!$A4)&amp;"/"&amp;Activities!$B4&amp;")","")</f>
        <v/>
      </c>
      <c r="M204" s="1" t="str">
        <f>IF(Activities!F4="Yes",Activities!$A4&amp;" ("&amp;COUNTIF(M$2:M$199,Activities!$A4)&amp;"/"&amp;Activities!$B4&amp;")","")</f>
        <v/>
      </c>
      <c r="N204" s="1">
        <f>COUNTIF(D$2:I$199,Activities!A4)</f>
        <v>1</v>
      </c>
    </row>
    <row r="205" spans="1:17" ht="12.75" customHeight="1" x14ac:dyDescent="0.4">
      <c r="A205">
        <v>1</v>
      </c>
      <c r="B205" s="1" t="str">
        <f>Activities!A5</f>
        <v>philo</v>
      </c>
      <c r="C205" s="1">
        <f>'Camper Activity Choices'!$E205+((1/2)*$I205)</f>
        <v>0</v>
      </c>
      <c r="E205" s="1">
        <f>COUNTIF('Camper Activity Choices'!D$2:E$199,Activities!A5)</f>
        <v>0</v>
      </c>
      <c r="G205">
        <f>Activities!B5</f>
        <v>16</v>
      </c>
      <c r="I205" s="1">
        <f>COUNTIF(F$2:I$199,Activities!A5)</f>
        <v>0</v>
      </c>
      <c r="J205" s="1" t="str">
        <f>IF(Activities!C5="Yes",Activities!$A5&amp;" ("&amp;COUNTIF(J$2:J$199,Activities!$A5)&amp;"/"&amp;Activities!$B5&amp;")","")</f>
        <v/>
      </c>
      <c r="K205" s="1" t="str">
        <f>IF(Activities!D5="Yes",Activities!$A5&amp;" ("&amp;COUNTIF(K$2:K$199,Activities!$A5)&amp;"/"&amp;Activities!$B5&amp;")","")</f>
        <v/>
      </c>
      <c r="L205" s="1" t="str">
        <f>IF(Activities!E5="Yes",Activities!$A5&amp;" ("&amp;COUNTIF(L$2:L$199,Activities!$A5)&amp;"/"&amp;Activities!$B5&amp;")","")</f>
        <v/>
      </c>
      <c r="M205" s="1" t="str">
        <f>IF(Activities!F5="Yes",Activities!$A5&amp;" ("&amp;COUNTIF(M$2:M$199,Activities!$A5)&amp;"/"&amp;Activities!$B5&amp;")","")</f>
        <v>philo (0/16)</v>
      </c>
      <c r="N205" s="1">
        <f>COUNTIF(D$2:I$199,Activities!A5)</f>
        <v>0</v>
      </c>
    </row>
    <row r="206" spans="1:17" ht="12.75" customHeight="1" x14ac:dyDescent="0.4">
      <c r="A206">
        <v>1</v>
      </c>
      <c r="B206" s="1" t="str">
        <f>Activities!A6</f>
        <v>boat</v>
      </c>
      <c r="C206" s="1">
        <f>'Camper Activity Choices'!$E206+((1/2)*$I206)</f>
        <v>2.5</v>
      </c>
      <c r="E206" s="1">
        <f>COUNTIF('Camper Activity Choices'!D$2:E$199,Activities!A6)</f>
        <v>2</v>
      </c>
      <c r="G206">
        <f>Activities!B6</f>
        <v>16</v>
      </c>
      <c r="I206" s="1">
        <f>COUNTIF(F$2:I$199,Activities!A6)</f>
        <v>1</v>
      </c>
      <c r="J206" s="1" t="str">
        <f>IF(Activities!C6="Yes",Activities!$A6&amp;" ("&amp;COUNTIF(J$2:J$199,Activities!$A6)&amp;"/"&amp;Activities!$B6&amp;")","")</f>
        <v>boat (0/16)</v>
      </c>
      <c r="K206" s="1" t="str">
        <f>IF(Activities!D6="Yes",Activities!$A6&amp;" ("&amp;COUNTIF(K$2:K$199,Activities!$A6)&amp;"/"&amp;Activities!$B6&amp;")","")</f>
        <v>boat (0/16)</v>
      </c>
      <c r="L206" s="1" t="str">
        <f>IF(Activities!E6="Yes",Activities!$A6&amp;" ("&amp;COUNTIF(L$2:L$199,Activities!$A6)&amp;"/"&amp;Activities!$B6&amp;")","")</f>
        <v>boat (0/16)</v>
      </c>
      <c r="M206" s="1" t="str">
        <f>IF(Activities!F6="Yes",Activities!$A6&amp;" ("&amp;COUNTIF(M$2:M$199,Activities!$A6)&amp;"/"&amp;Activities!$B6&amp;")","")</f>
        <v>boat (0/16)</v>
      </c>
      <c r="N206" s="1">
        <f>COUNTIF(D$2:I$199,Activities!A6)</f>
        <v>3</v>
      </c>
    </row>
    <row r="207" spans="1:17" ht="12.75" customHeight="1" x14ac:dyDescent="0.4">
      <c r="A207">
        <v>1</v>
      </c>
      <c r="B207" s="1" t="str">
        <f>Activities!A7</f>
        <v>dance</v>
      </c>
      <c r="C207" s="1">
        <f>'Camper Activity Choices'!$E207+((1/2)*$I207)</f>
        <v>2</v>
      </c>
      <c r="E207" s="1">
        <f>COUNTIF('Camper Activity Choices'!D$2:E$199,Activities!A7)</f>
        <v>0</v>
      </c>
      <c r="G207">
        <f>Activities!B7</f>
        <v>15</v>
      </c>
      <c r="I207" s="1">
        <f>COUNTIF(F$2:I$199,Activities!A7)</f>
        <v>4</v>
      </c>
      <c r="J207" s="1" t="str">
        <f>IF(Activities!C7="Yes",Activities!$A7&amp;" ("&amp;COUNTIF(J$2:J$199,Activities!$A7)&amp;"/"&amp;Activities!$B7&amp;")","")</f>
        <v/>
      </c>
      <c r="K207" s="1" t="str">
        <f>IF(Activities!D7="Yes",Activities!$A7&amp;" ("&amp;COUNTIF(K$2:K$199,Activities!$A7)&amp;"/"&amp;Activities!$B7&amp;")","")</f>
        <v/>
      </c>
      <c r="L207" s="1" t="str">
        <f>IF(Activities!E7="Yes",Activities!$A7&amp;" ("&amp;COUNTIF(L$2:L$199,Activities!$A7)&amp;"/"&amp;Activities!$B7&amp;")","")</f>
        <v/>
      </c>
      <c r="M207" s="1" t="str">
        <f>IF(Activities!F7="Yes",Activities!$A7&amp;" ("&amp;COUNTIF(M$2:M$199,Activities!$A7)&amp;"/"&amp;Activities!$B7&amp;")","")</f>
        <v>dance (0/15)</v>
      </c>
      <c r="N207" s="1">
        <f>COUNTIF(D$2:I$199,Activities!A7)</f>
        <v>4</v>
      </c>
    </row>
    <row r="208" spans="1:17" ht="12.75" customHeight="1" x14ac:dyDescent="0.4">
      <c r="A208">
        <v>1</v>
      </c>
      <c r="B208" s="1" t="str">
        <f>Activities!A8</f>
        <v>drama</v>
      </c>
      <c r="C208" s="1">
        <f>'Camper Activity Choices'!$E208+((1/2)*$I208)</f>
        <v>2.5</v>
      </c>
      <c r="E208" s="1">
        <f>COUNTIF('Camper Activity Choices'!D$2:E$199,Activities!A8)</f>
        <v>0</v>
      </c>
      <c r="G208">
        <f>Activities!B8</f>
        <v>25</v>
      </c>
      <c r="I208" s="1">
        <f>COUNTIF(F$2:I$199,Activities!A8)</f>
        <v>5</v>
      </c>
      <c r="J208" s="1" t="str">
        <f>IF(Activities!C8="Yes",Activities!$A8&amp;" ("&amp;COUNTIF(J$2:J$199,Activities!$A8)&amp;"/"&amp;Activities!$B8&amp;")","")</f>
        <v/>
      </c>
      <c r="K208" s="1" t="str">
        <f>IF(Activities!D8="Yes",Activities!$A8&amp;" ("&amp;COUNTIF(K$2:K$199,Activities!$A8)&amp;"/"&amp;Activities!$B8&amp;")","")</f>
        <v>drama (0/25)</v>
      </c>
      <c r="L208" s="1" t="str">
        <f>IF(Activities!E8="Yes",Activities!$A8&amp;" ("&amp;COUNTIF(L$2:L$199,Activities!$A8)&amp;"/"&amp;Activities!$B8&amp;")","")</f>
        <v>drama (0/25)</v>
      </c>
      <c r="M208" s="1" t="str">
        <f>IF(Activities!F8="Yes",Activities!$A8&amp;" ("&amp;COUNTIF(M$2:M$199,Activities!$A8)&amp;"/"&amp;Activities!$B8&amp;")","")</f>
        <v/>
      </c>
      <c r="N208" s="1">
        <f>COUNTIF(D$2:I$199,Activities!A8)</f>
        <v>5</v>
      </c>
    </row>
    <row r="209" spans="1:14" ht="12.75" customHeight="1" x14ac:dyDescent="0.4">
      <c r="A209">
        <v>1</v>
      </c>
      <c r="B209" s="1" t="str">
        <f>Activities!A9</f>
        <v>fish</v>
      </c>
      <c r="C209" s="1">
        <f>'Camper Activity Choices'!$E209+((1/2)*$I209)</f>
        <v>3.5</v>
      </c>
      <c r="E209" s="1">
        <f>COUNTIF('Camper Activity Choices'!D$2:E$199,Activities!A9)</f>
        <v>2</v>
      </c>
      <c r="G209">
        <f>Activities!B9</f>
        <v>10</v>
      </c>
      <c r="I209" s="1">
        <f>COUNTIF(F$2:I$199,Activities!A9)</f>
        <v>3</v>
      </c>
      <c r="J209" s="1" t="str">
        <f>IF(Activities!C9="Yes",Activities!$A9&amp;" ("&amp;COUNTIF(J$2:J$199,Activities!$A9)&amp;"/"&amp;Activities!$B9&amp;")","")</f>
        <v>fish (0/10)</v>
      </c>
      <c r="K209" s="1" t="str">
        <f>IF(Activities!D9="Yes",Activities!$A9&amp;" ("&amp;COUNTIF(K$2:K$199,Activities!$A9)&amp;"/"&amp;Activities!$B9&amp;")","")</f>
        <v/>
      </c>
      <c r="L209" s="1" t="str">
        <f>IF(Activities!E9="Yes",Activities!$A9&amp;" ("&amp;COUNTIF(L$2:L$199,Activities!$A9)&amp;"/"&amp;Activities!$B9&amp;")","")</f>
        <v>fish (0/10)</v>
      </c>
      <c r="M209" s="1" t="str">
        <f>IF(Activities!F9="Yes",Activities!$A9&amp;" ("&amp;COUNTIF(M$2:M$199,Activities!$A9)&amp;"/"&amp;Activities!$B9&amp;")","")</f>
        <v/>
      </c>
      <c r="N209" s="1">
        <f>COUNTIF(D$2:I$199,Activities!A9)</f>
        <v>5</v>
      </c>
    </row>
    <row r="210" spans="1:14" ht="12.75" customHeight="1" x14ac:dyDescent="0.4">
      <c r="A210">
        <v>1</v>
      </c>
      <c r="B210" s="1" t="str">
        <f>Activities!A10</f>
        <v>horse</v>
      </c>
      <c r="C210" s="1">
        <f>'Camper Activity Choices'!$E210+((1/2)*$I210)</f>
        <v>6</v>
      </c>
      <c r="E210" s="1">
        <f>COUNTIF('Camper Activity Choices'!D$2:E$199,Activities!A10)</f>
        <v>6</v>
      </c>
      <c r="G210">
        <f>Activities!B10</f>
        <v>17</v>
      </c>
      <c r="I210" s="1">
        <f>COUNTIF(F$2:I$199,Activities!A10)</f>
        <v>0</v>
      </c>
      <c r="J210" s="1" t="str">
        <f>IF(Activities!C10="Yes",Activities!$A10&amp;" ("&amp;COUNTIF(J$2:J$199,Activities!$A10)&amp;"/"&amp;Activities!$B10&amp;")","")</f>
        <v>horse (0/17)</v>
      </c>
      <c r="K210" s="1" t="str">
        <f>IF(Activities!D10="Yes",Activities!$A10&amp;" ("&amp;COUNTIF(K$2:K$199,Activities!$A10)&amp;"/"&amp;Activities!$B10&amp;")","")</f>
        <v>horse (0/17)</v>
      </c>
      <c r="L210" s="1" t="str">
        <f>IF(Activities!E10="Yes",Activities!$A10&amp;" ("&amp;COUNTIF(L$2:L$199,Activities!$A10)&amp;"/"&amp;Activities!$B10&amp;")","")</f>
        <v>horse (0/17)</v>
      </c>
      <c r="M210" s="1" t="str">
        <f>IF(Activities!F10="Yes",Activities!$A10&amp;" ("&amp;COUNTIF(M$2:M$199,Activities!$A10)&amp;"/"&amp;Activities!$B10&amp;")","")</f>
        <v>horse (0/17)</v>
      </c>
      <c r="N210" s="1">
        <f>COUNTIF(D$2:I$199,Activities!A10)</f>
        <v>6</v>
      </c>
    </row>
    <row r="211" spans="1:14" ht="12.75" customHeight="1" x14ac:dyDescent="0.4">
      <c r="A211">
        <v>1</v>
      </c>
      <c r="B211" s="1" t="str">
        <f>Activities!A11</f>
        <v>mbs</v>
      </c>
      <c r="C211" s="1">
        <f>'Camper Activity Choices'!$E211+((1/2)*$I211)</f>
        <v>2</v>
      </c>
      <c r="E211" s="1">
        <f>COUNTIF('Camper Activity Choices'!D$2:E$199,Activities!A11)</f>
        <v>1</v>
      </c>
      <c r="G211">
        <f>Activities!B11</f>
        <v>15</v>
      </c>
      <c r="I211" s="1">
        <f>COUNTIF(F$2:I$199,Activities!A11)</f>
        <v>2</v>
      </c>
      <c r="J211" s="1" t="str">
        <f>IF(Activities!C11="Yes",Activities!$A11&amp;" ("&amp;COUNTIF(J$2:J$199,Activities!$A11)&amp;"/"&amp;Activities!$B11&amp;")","")</f>
        <v>mbs (0/15)</v>
      </c>
      <c r="K211" s="1" t="str">
        <f>IF(Activities!D11="Yes",Activities!$A11&amp;" ("&amp;COUNTIF(K$2:K$199,Activities!$A11)&amp;"/"&amp;Activities!$B11&amp;")","")</f>
        <v/>
      </c>
      <c r="L211" s="1" t="str">
        <f>IF(Activities!E11="Yes",Activities!$A11&amp;" ("&amp;COUNTIF(L$2:L$199,Activities!$A11)&amp;"/"&amp;Activities!$B11&amp;")","")</f>
        <v>mbs (0/15)</v>
      </c>
      <c r="M211" s="1" t="str">
        <f>IF(Activities!F11="Yes",Activities!$A11&amp;" ("&amp;COUNTIF(M$2:M$199,Activities!$A11)&amp;"/"&amp;Activities!$B11&amp;")","")</f>
        <v>mbs (0/15)</v>
      </c>
      <c r="N211" s="1">
        <f>COUNTIF(D$2:I$199,Activities!A11)</f>
        <v>3</v>
      </c>
    </row>
    <row r="212" spans="1:14" ht="12.75" customHeight="1" x14ac:dyDescent="0.4">
      <c r="A212">
        <v>1</v>
      </c>
      <c r="B212" s="1" t="str">
        <f>Activities!A12</f>
        <v>music</v>
      </c>
      <c r="C212" s="1">
        <f>'Camper Activity Choices'!$E212+((1/2)*$I212)</f>
        <v>3</v>
      </c>
      <c r="E212" s="1">
        <f>COUNTIF('Camper Activity Choices'!D$2:E$199,Activities!A12)</f>
        <v>0</v>
      </c>
      <c r="G212">
        <f>Activities!B12</f>
        <v>12</v>
      </c>
      <c r="I212" s="1">
        <f>COUNTIF(F$2:I$199,Activities!A12)</f>
        <v>6</v>
      </c>
      <c r="J212" s="1" t="str">
        <f>IF(Activities!C12="Yes",Activities!$A12&amp;" ("&amp;COUNTIF(J$2:J$199,Activities!$A12)&amp;"/"&amp;Activities!$B12&amp;")","")</f>
        <v>music (0/12)</v>
      </c>
      <c r="K212" s="1" t="str">
        <f>IF(Activities!D12="Yes",Activities!$A12&amp;" ("&amp;COUNTIF(K$2:K$199,Activities!$A12)&amp;"/"&amp;Activities!$B12&amp;")","")</f>
        <v/>
      </c>
      <c r="L212" s="1" t="str">
        <f>IF(Activities!E12="Yes",Activities!$A12&amp;" ("&amp;COUNTIF(L$2:L$199,Activities!$A12)&amp;"/"&amp;Activities!$B12&amp;")","")</f>
        <v/>
      </c>
      <c r="M212" s="1" t="str">
        <f>IF(Activities!F12="Yes",Activities!$A12&amp;" ("&amp;COUNTIF(M$2:M$199,Activities!$A12)&amp;"/"&amp;Activities!$B12&amp;")","")</f>
        <v>music (0/12)</v>
      </c>
      <c r="N212" s="1">
        <f>COUNTIF(D$2:I$199,Activities!A12)</f>
        <v>6</v>
      </c>
    </row>
    <row r="213" spans="1:14" ht="12.75" customHeight="1" x14ac:dyDescent="0.4">
      <c r="A213">
        <v>1</v>
      </c>
      <c r="B213" s="1" t="str">
        <f>Activities!A13</f>
        <v>ropes</v>
      </c>
      <c r="C213" s="1">
        <f>'Camper Activity Choices'!$E213+((1/2)*$I213)</f>
        <v>0</v>
      </c>
      <c r="E213" s="1">
        <f>COUNTIF('Camper Activity Choices'!D$2:E$199,Activities!A13)</f>
        <v>0</v>
      </c>
      <c r="G213">
        <f>Activities!B13</f>
        <v>13</v>
      </c>
      <c r="I213" s="1">
        <f>COUNTIF(F$2:I$199,Activities!A13)</f>
        <v>0</v>
      </c>
      <c r="J213" s="1" t="str">
        <f>IF(Activities!C13="Yes",Activities!$A13&amp;" ("&amp;COUNTIF(J$2:J$199,Activities!$A13)&amp;"/"&amp;Activities!$B13&amp;")","")</f>
        <v>ropes (0/13)</v>
      </c>
      <c r="K213" s="1" t="str">
        <f>IF(Activities!D13="Yes",Activities!$A13&amp;" ("&amp;COUNTIF(K$2:K$199,Activities!$A13)&amp;"/"&amp;Activities!$B13&amp;")","")</f>
        <v>ropes (0/13)</v>
      </c>
      <c r="L213" s="1" t="str">
        <f>IF(Activities!E13="Yes",Activities!$A13&amp;" ("&amp;COUNTIF(L$2:L$199,Activities!$A13)&amp;"/"&amp;Activities!$B13&amp;")","")</f>
        <v>ropes (0/13)</v>
      </c>
      <c r="M213" s="1" t="str">
        <f>IF(Activities!F13="Yes",Activities!$A13&amp;" ("&amp;COUNTIF(M$2:M$199,Activities!$A13)&amp;"/"&amp;Activities!$B13&amp;")","")</f>
        <v/>
      </c>
      <c r="N213" s="1">
        <f>COUNTIF(D$2:I$199,Activities!A13)</f>
        <v>0</v>
      </c>
    </row>
    <row r="214" spans="1:14" ht="12.75" customHeight="1" x14ac:dyDescent="0.4">
      <c r="A214">
        <v>1</v>
      </c>
      <c r="B214" s="1" t="str">
        <f>Activities!A14</f>
        <v>sail</v>
      </c>
      <c r="C214" s="1">
        <f>'Camper Activity Choices'!$E214+((1/2)*$I214)</f>
        <v>2</v>
      </c>
      <c r="E214" s="1">
        <f>COUNTIF('Camper Activity Choices'!D$2:E$199,Activities!A14)</f>
        <v>1</v>
      </c>
      <c r="G214">
        <f>Activities!B14</f>
        <v>16</v>
      </c>
      <c r="I214" s="1">
        <f>COUNTIF(F$2:I$199,Activities!A14)</f>
        <v>2</v>
      </c>
      <c r="J214" s="1" t="str">
        <f>IF(Activities!C14="Yes",Activities!$A14&amp;" ("&amp;COUNTIF(J$2:J$199,Activities!$A14)&amp;"/"&amp;Activities!$B14&amp;")","")</f>
        <v>sail (0/16)</v>
      </c>
      <c r="K214" s="1" t="str">
        <f>IF(Activities!D14="Yes",Activities!$A14&amp;" ("&amp;COUNTIF(K$2:K$199,Activities!$A14)&amp;"/"&amp;Activities!$B14&amp;")","")</f>
        <v>sail (0/16)</v>
      </c>
      <c r="L214" s="1" t="str">
        <f>IF(Activities!E14="Yes",Activities!$A14&amp;" ("&amp;COUNTIF(L$2:L$199,Activities!$A14)&amp;"/"&amp;Activities!$B14&amp;")","")</f>
        <v/>
      </c>
      <c r="M214" s="1" t="str">
        <f>IF(Activities!F14="Yes",Activities!$A14&amp;" ("&amp;COUNTIF(M$2:M$199,Activities!$A14)&amp;"/"&amp;Activities!$B14&amp;")","")</f>
        <v/>
      </c>
      <c r="N214" s="1">
        <f>COUNTIF(D$2:I$199,Activities!A14)</f>
        <v>3</v>
      </c>
    </row>
    <row r="215" spans="1:14" ht="12.75" customHeight="1" x14ac:dyDescent="0.4">
      <c r="A215">
        <v>1</v>
      </c>
      <c r="B215" s="1" t="str">
        <f>Activities!A15</f>
        <v>swim</v>
      </c>
      <c r="C215" s="1">
        <f>'Camper Activity Choices'!$E215+((1/2)*$I215)</f>
        <v>4.5</v>
      </c>
      <c r="E215" s="1">
        <f>COUNTIF('Camper Activity Choices'!D$2:E$199,Activities!A15)</f>
        <v>2</v>
      </c>
      <c r="G215">
        <f>Activities!B15</f>
        <v>20</v>
      </c>
      <c r="I215" s="1">
        <f>COUNTIF(F$2:I$199,Activities!A15)</f>
        <v>5</v>
      </c>
      <c r="J215" s="1" t="str">
        <f>IF(Activities!C15="Yes",Activities!$A15&amp;" ("&amp;COUNTIF(J$2:J$199,Activities!$A15)&amp;"/"&amp;Activities!$B15&amp;")","")</f>
        <v/>
      </c>
      <c r="K215" s="1" t="str">
        <f>IF(Activities!D15="Yes",Activities!$A15&amp;" ("&amp;COUNTIF(K$2:K$199,Activities!$A15)&amp;"/"&amp;Activities!$B15&amp;")","")</f>
        <v>swim (0/20)</v>
      </c>
      <c r="L215" s="1" t="str">
        <f>IF(Activities!E15="Yes",Activities!$A15&amp;" ("&amp;COUNTIF(L$2:L$199,Activities!$A15)&amp;"/"&amp;Activities!$B15&amp;")","")</f>
        <v>swim (0/20)</v>
      </c>
      <c r="M215" s="1" t="str">
        <f>IF(Activities!F15="Yes",Activities!$A15&amp;" ("&amp;COUNTIF(M$2:M$199,Activities!$A15)&amp;"/"&amp;Activities!$B15&amp;")","")</f>
        <v>swim (0/20)</v>
      </c>
      <c r="N215" s="1">
        <f>COUNTIF(D$2:I$199,Activities!A15)</f>
        <v>7</v>
      </c>
    </row>
    <row r="216" spans="1:14" ht="12.75" customHeight="1" x14ac:dyDescent="0.4">
      <c r="A216">
        <v>1</v>
      </c>
      <c r="B216" s="1" t="str">
        <f>Activities!A16</f>
        <v>wildx</v>
      </c>
      <c r="C216" s="1">
        <f>'Camper Activity Choices'!$E216+((1/2)*$I216)</f>
        <v>2.5</v>
      </c>
      <c r="E216" s="1">
        <f>COUNTIF('Camper Activity Choices'!D$2:E$199,Activities!A16)</f>
        <v>0</v>
      </c>
      <c r="G216">
        <f>Activities!B16</f>
        <v>20</v>
      </c>
      <c r="I216" s="1">
        <f>COUNTIF(F$2:I$199,Activities!A16)</f>
        <v>5</v>
      </c>
      <c r="J216" s="1" t="str">
        <f>IF(Activities!C16="Yes",Activities!$A16&amp;" ("&amp;COUNTIF(J$2:J$199,Activities!$A16)&amp;"/"&amp;Activities!$B16&amp;")","")</f>
        <v>wildx (0/20)</v>
      </c>
      <c r="K216" s="1" t="str">
        <f>IF(Activities!D16="Yes",Activities!$A16&amp;" ("&amp;COUNTIF(K$2:K$199,Activities!$A16)&amp;"/"&amp;Activities!$B16&amp;")","")</f>
        <v>wildx (0/20)</v>
      </c>
      <c r="L216" s="1" t="str">
        <f>IF(Activities!E16="Yes",Activities!$A16&amp;" ("&amp;COUNTIF(L$2:L$199,Activities!$A16)&amp;"/"&amp;Activities!$B16&amp;")","")</f>
        <v/>
      </c>
      <c r="M216" s="1" t="str">
        <f>IF(Activities!F16="Yes",Activities!$A16&amp;" ("&amp;COUNTIF(M$2:M$199,Activities!$A16)&amp;"/"&amp;Activities!$B16&amp;")","")</f>
        <v>wildx (0/20)</v>
      </c>
      <c r="N216" s="1">
        <f>COUNTIF(D$2:I$199,Activities!A16)</f>
        <v>5</v>
      </c>
    </row>
    <row r="217" spans="1:14" ht="12.75" customHeight="1" x14ac:dyDescent="0.4">
      <c r="A217" s="52">
        <v>1</v>
      </c>
      <c r="B217" s="1" t="str">
        <f>Activities!A17</f>
        <v>tennis</v>
      </c>
      <c r="C217" s="1">
        <f>'Camper Activity Choices'!$E217+((1/2)*$I217)</f>
        <v>0.5</v>
      </c>
      <c r="E217" s="1">
        <f>COUNTIF('Camper Activity Choices'!D$2:E$199,Activities!A17)</f>
        <v>0</v>
      </c>
      <c r="G217">
        <f>Activities!B17</f>
        <v>16</v>
      </c>
      <c r="I217" s="1">
        <f>COUNTIF(F$2:I$199,Activities!A17)</f>
        <v>1</v>
      </c>
      <c r="J217" s="1" t="str">
        <f>IF(Activities!C17="Yes",Activities!$A17&amp;" ("&amp;COUNTIF(J$2:J$199,Activities!$A17)&amp;"/"&amp;Activities!$B17&amp;")","")</f>
        <v/>
      </c>
      <c r="K217" s="1" t="str">
        <f>IF(Activities!D17="Yes",Activities!$A17&amp;" ("&amp;COUNTIF(K$2:K$199,Activities!$A17)&amp;"/"&amp;Activities!$B17&amp;")","")</f>
        <v/>
      </c>
      <c r="L217" s="1" t="str">
        <f>IF(Activities!E17="Yes",Activities!$A17&amp;" ("&amp;COUNTIF(L$2:L$199,Activities!$A17)&amp;"/"&amp;Activities!$B17&amp;")","")</f>
        <v>tennis (0/16)</v>
      </c>
      <c r="M217" s="1" t="str">
        <f>IF(Activities!F17="Yes",Activities!$A17&amp;" ("&amp;COUNTIF(M$2:M$199,Activities!$A17)&amp;"/"&amp;Activities!$B17&amp;")","")</f>
        <v/>
      </c>
      <c r="N217" s="1">
        <f>COUNTIF(D$2:I$199,Activities!A17)</f>
        <v>1</v>
      </c>
    </row>
    <row r="218" spans="1:14" ht="12.75" customHeight="1" x14ac:dyDescent="0.4">
      <c r="A218" s="51">
        <v>1</v>
      </c>
      <c r="B218" s="1" t="e">
        <f>Activities!#REF!</f>
        <v>#REF!</v>
      </c>
      <c r="C218" s="1">
        <f>'Camper Activity Choices'!$E218+((1/2)*$I218)</f>
        <v>0</v>
      </c>
      <c r="E218" s="1">
        <f>COUNTIF('Camper Activity Choices'!D$2:E$199,Activities!#REF!)</f>
        <v>0</v>
      </c>
      <c r="G218" t="e">
        <f>Activities!#REF!</f>
        <v>#REF!</v>
      </c>
      <c r="I218" s="1">
        <f>COUNTIF(F$2:I$199,Activities!#REF!)</f>
        <v>0</v>
      </c>
      <c r="J218" s="1" t="e">
        <f>IF(Activities!#REF!="Yes",Activities!#REF!&amp;" ("&amp;COUNTIF(J$2:J$199,Activities!#REF!)&amp;"/"&amp;Activities!#REF!&amp;")","")</f>
        <v>#REF!</v>
      </c>
      <c r="K218" s="1" t="e">
        <f>IF(Activities!#REF!="Yes",Activities!#REF!&amp;" ("&amp;COUNTIF(K$2:K$199,Activities!#REF!)&amp;"/"&amp;Activities!#REF!&amp;")","")</f>
        <v>#REF!</v>
      </c>
      <c r="L218" s="1" t="e">
        <f>IF(Activities!#REF!="Yes",Activities!#REF!&amp;" ("&amp;COUNTIF(L$2:L$199,Activities!#REF!)&amp;"/"&amp;Activities!#REF!&amp;")","")</f>
        <v>#REF!</v>
      </c>
      <c r="M218" s="1" t="e">
        <f>IF(Activities!#REF!="Yes",Activities!#REF!&amp;" ("&amp;COUNTIF(M$2:M$199,Activities!#REF!)&amp;"/"&amp;Activities!#REF!&amp;")","")</f>
        <v>#REF!</v>
      </c>
      <c r="N218" s="1">
        <f>COUNTIF(D$2:I$199,Activities!#REF!)</f>
        <v>0</v>
      </c>
    </row>
    <row r="219" spans="1:14" ht="12.75" customHeight="1" thickBot="1" x14ac:dyDescent="0.45">
      <c r="A219" s="6"/>
      <c r="B219" s="6"/>
      <c r="N219" s="1">
        <f>COUNTIF(D$2:I$199,Activities!A18)</f>
        <v>0</v>
      </c>
    </row>
    <row r="220" spans="1:14" ht="12.75" customHeight="1" thickBot="1" x14ac:dyDescent="0.45">
      <c r="A220" s="6"/>
      <c r="B220" s="6"/>
      <c r="H220" s="37"/>
      <c r="I220" s="38" t="s">
        <v>48</v>
      </c>
      <c r="J220" s="39">
        <f>19-COUNTBLANK(J202:J219)</f>
        <v>13</v>
      </c>
      <c r="K220" s="39">
        <f>19-COUNTBLANK(K202:K219)</f>
        <v>12</v>
      </c>
      <c r="L220" s="39">
        <f>19-COUNTBLANK(L202:L219)</f>
        <v>12</v>
      </c>
      <c r="M220" s="40">
        <f>19-COUNTBLANK(M202:M219)</f>
        <v>12</v>
      </c>
    </row>
    <row r="221" spans="1:14" ht="12.75" customHeight="1" x14ac:dyDescent="0.4">
      <c r="A221" s="6"/>
      <c r="B221" s="6"/>
      <c r="I221" s="9" t="s">
        <v>49</v>
      </c>
      <c r="K221" t="s">
        <v>8</v>
      </c>
    </row>
    <row r="222" spans="1:14" ht="12.75" customHeight="1" x14ac:dyDescent="0.4">
      <c r="A222" s="6"/>
      <c r="B222" s="6"/>
      <c r="I222" t="s">
        <v>50</v>
      </c>
      <c r="J222" s="10">
        <f>COUNTIF(N$2:N$199,4)</f>
        <v>0</v>
      </c>
    </row>
    <row r="223" spans="1:14" ht="12.75" customHeight="1" x14ac:dyDescent="0.4">
      <c r="A223" s="6"/>
      <c r="B223" s="6"/>
      <c r="I223" t="s">
        <v>51</v>
      </c>
      <c r="J223" s="10">
        <f>COUNTIF(N$2:N$199,4)</f>
        <v>0</v>
      </c>
    </row>
    <row r="224" spans="1:14" ht="12.75" customHeight="1" x14ac:dyDescent="0.4">
      <c r="A224" s="6"/>
      <c r="B224" s="6"/>
      <c r="I224" t="s">
        <v>52</v>
      </c>
      <c r="J224" s="10">
        <f>COUNTIF(N$2:N$199,4)</f>
        <v>0</v>
      </c>
    </row>
    <row r="225" spans="1:13" ht="12.75" customHeight="1" x14ac:dyDescent="0.4">
      <c r="A225" s="6"/>
      <c r="B225" s="6"/>
      <c r="I225" t="s">
        <v>53</v>
      </c>
      <c r="J225" s="10">
        <f>COUNTIF(N$2:N$199,4)</f>
        <v>0</v>
      </c>
    </row>
    <row r="226" spans="1:13" ht="12.75" customHeight="1" x14ac:dyDescent="0.4">
      <c r="A226" s="6"/>
      <c r="B226" s="6"/>
    </row>
    <row r="227" spans="1:13" ht="12.75" customHeight="1" x14ac:dyDescent="0.4">
      <c r="A227" s="6"/>
      <c r="B227" s="6"/>
    </row>
    <row r="228" spans="1:13" ht="12.75" customHeight="1" x14ac:dyDescent="0.4">
      <c r="A228" s="6"/>
      <c r="B228" s="6"/>
    </row>
    <row r="229" spans="1:13" ht="12.75" customHeight="1" x14ac:dyDescent="0.4">
      <c r="A229" s="6"/>
      <c r="B229" s="6"/>
      <c r="K229">
        <f>4*16</f>
        <v>64</v>
      </c>
    </row>
    <row r="230" spans="1:13" ht="12.75" customHeight="1" x14ac:dyDescent="0.4">
      <c r="A230" s="6"/>
      <c r="B230" s="6"/>
    </row>
    <row r="231" spans="1:13" ht="12.75" customHeight="1" x14ac:dyDescent="0.4">
      <c r="A231" s="6"/>
      <c r="B231" s="6"/>
    </row>
    <row r="232" spans="1:13" ht="12.75" customHeight="1" x14ac:dyDescent="0.4">
      <c r="A232" s="6"/>
      <c r="B232" s="6"/>
    </row>
    <row r="233" spans="1:13" ht="12.75" customHeight="1" x14ac:dyDescent="0.4">
      <c r="A233" s="6"/>
      <c r="B233" s="6"/>
    </row>
    <row r="234" spans="1:13" ht="12.75" hidden="1" customHeight="1" x14ac:dyDescent="0.4">
      <c r="A234" s="6"/>
      <c r="B234" s="6"/>
      <c r="J234">
        <v>25</v>
      </c>
      <c r="K234">
        <v>25</v>
      </c>
      <c r="L234">
        <v>25</v>
      </c>
      <c r="M234">
        <v>25</v>
      </c>
    </row>
    <row r="235" spans="1:13" ht="12.75" hidden="1" customHeight="1" x14ac:dyDescent="0.4">
      <c r="A235" s="6"/>
      <c r="B235" s="6"/>
      <c r="J235">
        <v>12</v>
      </c>
      <c r="K235">
        <v>12</v>
      </c>
      <c r="L235">
        <v>12</v>
      </c>
      <c r="M235">
        <v>12</v>
      </c>
    </row>
    <row r="236" spans="1:13" ht="12.75" hidden="1" customHeight="1" x14ac:dyDescent="0.4">
      <c r="A236" s="6"/>
      <c r="B236" s="6"/>
      <c r="J236">
        <v>30</v>
      </c>
      <c r="K236">
        <v>16</v>
      </c>
      <c r="L236">
        <v>30</v>
      </c>
      <c r="M236">
        <v>30</v>
      </c>
    </row>
    <row r="237" spans="1:13" ht="12.75" hidden="1" customHeight="1" x14ac:dyDescent="0.4">
      <c r="A237" s="6"/>
      <c r="B237" s="6"/>
      <c r="J237">
        <v>16</v>
      </c>
      <c r="K237">
        <v>15</v>
      </c>
      <c r="L237">
        <v>16</v>
      </c>
      <c r="M237">
        <v>16</v>
      </c>
    </row>
    <row r="238" spans="1:13" ht="12.75" hidden="1" customHeight="1" x14ac:dyDescent="0.4">
      <c r="J238">
        <v>10</v>
      </c>
      <c r="K238">
        <v>10</v>
      </c>
      <c r="L238">
        <v>25</v>
      </c>
      <c r="M238">
        <v>25</v>
      </c>
    </row>
    <row r="239" spans="1:13" ht="12.75" hidden="1" customHeight="1" x14ac:dyDescent="0.4">
      <c r="J239">
        <v>15</v>
      </c>
      <c r="K239">
        <v>12</v>
      </c>
      <c r="L239">
        <v>15</v>
      </c>
      <c r="M239">
        <v>15</v>
      </c>
    </row>
    <row r="240" spans="1:13" ht="12.75" hidden="1" customHeight="1" x14ac:dyDescent="0.4">
      <c r="J240">
        <v>15</v>
      </c>
      <c r="K240">
        <v>16</v>
      </c>
      <c r="L240">
        <v>15</v>
      </c>
      <c r="M240">
        <v>16</v>
      </c>
    </row>
    <row r="241" spans="10:13" ht="12.75" hidden="1" customHeight="1" x14ac:dyDescent="0.4">
      <c r="J241">
        <v>10</v>
      </c>
      <c r="K241">
        <v>20</v>
      </c>
      <c r="L241">
        <v>16</v>
      </c>
      <c r="M241">
        <v>20</v>
      </c>
    </row>
    <row r="242" spans="10:13" ht="12.75" hidden="1" customHeight="1" x14ac:dyDescent="0.4">
      <c r="J242">
        <v>7</v>
      </c>
      <c r="K242">
        <v>20</v>
      </c>
      <c r="L242">
        <v>20</v>
      </c>
      <c r="M242">
        <v>16</v>
      </c>
    </row>
    <row r="243" spans="10:13" ht="12.75" hidden="1" customHeight="1" x14ac:dyDescent="0.4">
      <c r="J243">
        <v>16</v>
      </c>
      <c r="K243">
        <v>16</v>
      </c>
      <c r="L243">
        <v>16</v>
      </c>
    </row>
    <row r="244" spans="10:13" ht="12.75" hidden="1" customHeight="1" x14ac:dyDescent="0.4">
      <c r="J244">
        <v>16</v>
      </c>
    </row>
    <row r="245" spans="10:13" ht="12.75" hidden="1" customHeight="1" x14ac:dyDescent="0.4">
      <c r="J245">
        <v>20</v>
      </c>
    </row>
  </sheetData>
  <autoFilter ref="A1:O199" xr:uid="{00000000-0009-0000-0000-000001000000}"/>
  <mergeCells count="1">
    <mergeCell ref="B201:C201"/>
  </mergeCells>
  <phoneticPr fontId="6" type="noConversion"/>
  <conditionalFormatting sqref="O2:O199">
    <cfRule type="cellIs" dxfId="2" priority="6" stopIfTrue="1" operator="notEqual">
      <formula>""</formula>
    </cfRule>
  </conditionalFormatting>
  <conditionalFormatting sqref="Q1:Q1048576">
    <cfRule type="cellIs" dxfId="1" priority="2" operator="greaterThan">
      <formula>0</formula>
    </cfRule>
  </conditionalFormatting>
  <conditionalFormatting sqref="J1:M1048576">
    <cfRule type="cellIs" dxfId="0" priority="1" operator="equal">
      <formula>"null"</formula>
    </cfRule>
  </conditionalFormatting>
  <dataValidations count="1">
    <dataValidation type="list" allowBlank="1" showInputMessage="1" showErrorMessage="1" sqref="J2:M199" xr:uid="{00000000-0002-0000-0100-000000000000}">
      <formula1>ActivityChoices</formula1>
    </dataValidation>
  </dataValidations>
  <pageMargins left="0.99791666666666667" right="0.24791666666666667" top="0.23402777777777778" bottom="0.23402777777777778" header="0" footer="0"/>
  <pageSetup paperSize="9" scale="69" firstPageNumber="0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13"/>
  <sheetViews>
    <sheetView tabSelected="1" topLeftCell="A28" workbookViewId="0">
      <selection activeCell="H40" sqref="H40"/>
    </sheetView>
  </sheetViews>
  <sheetFormatPr defaultRowHeight="12.3" x14ac:dyDescent="0.4"/>
  <sheetData>
    <row r="1" spans="1:10" ht="12.6" thickBot="1" x14ac:dyDescent="0.45"/>
    <row r="2" spans="1:10" ht="12.6" thickBot="1" x14ac:dyDescent="0.45">
      <c r="A2" s="54"/>
      <c r="B2" s="54"/>
      <c r="D2" s="60"/>
      <c r="E2" s="60"/>
      <c r="G2" s="54"/>
      <c r="H2" s="54"/>
      <c r="I2" s="60"/>
      <c r="J2" s="60"/>
    </row>
    <row r="3" spans="1:10" ht="12.6" thickBot="1" x14ac:dyDescent="0.45">
      <c r="A3" s="54"/>
      <c r="B3" s="54"/>
      <c r="D3" s="60"/>
      <c r="E3" s="60"/>
      <c r="G3" s="59"/>
      <c r="H3" s="59"/>
      <c r="I3" s="54"/>
      <c r="J3" s="54"/>
    </row>
    <row r="4" spans="1:10" ht="12.6" thickBot="1" x14ac:dyDescent="0.45">
      <c r="A4" s="54"/>
      <c r="B4" s="54"/>
      <c r="D4" s="53"/>
      <c r="E4" s="53"/>
      <c r="G4" s="53"/>
      <c r="H4" s="53"/>
      <c r="I4" s="60"/>
      <c r="J4" s="60"/>
    </row>
    <row r="5" spans="1:10" ht="12.6" thickBot="1" x14ac:dyDescent="0.45">
      <c r="A5" s="60"/>
      <c r="B5" s="60"/>
      <c r="D5" s="54"/>
      <c r="E5" s="54"/>
      <c r="G5" s="54"/>
      <c r="H5" s="54"/>
      <c r="I5" s="60"/>
      <c r="J5" s="60"/>
    </row>
    <row r="6" spans="1:10" ht="12.6" thickBot="1" x14ac:dyDescent="0.45">
      <c r="A6" s="54"/>
      <c r="B6" s="54"/>
      <c r="D6" s="60"/>
      <c r="E6" s="60"/>
      <c r="G6" s="54"/>
      <c r="H6" s="54"/>
      <c r="I6" s="54"/>
      <c r="J6" s="54"/>
    </row>
    <row r="7" spans="1:10" ht="12.6" thickBot="1" x14ac:dyDescent="0.45">
      <c r="A7" s="60"/>
      <c r="B7" s="60"/>
      <c r="D7" s="54"/>
      <c r="E7" s="54"/>
      <c r="G7" s="53"/>
      <c r="H7" s="53"/>
      <c r="I7" s="54"/>
      <c r="J7" s="54"/>
    </row>
    <row r="8" spans="1:10" ht="12.6" thickBot="1" x14ac:dyDescent="0.45">
      <c r="A8" s="60"/>
      <c r="B8" s="60"/>
      <c r="D8" s="60"/>
      <c r="E8" s="60"/>
      <c r="G8" s="54"/>
      <c r="H8" s="54"/>
      <c r="I8" s="60"/>
      <c r="J8" s="60"/>
    </row>
    <row r="9" spans="1:10" ht="12.6" thickBot="1" x14ac:dyDescent="0.45">
      <c r="A9" s="54"/>
      <c r="B9" s="54"/>
      <c r="D9" s="60"/>
      <c r="E9" s="60"/>
      <c r="G9" s="60"/>
      <c r="H9" s="60"/>
      <c r="I9" s="60"/>
      <c r="J9" s="60"/>
    </row>
    <row r="10" spans="1:10" ht="12.6" thickBot="1" x14ac:dyDescent="0.45">
      <c r="A10" s="33"/>
      <c r="B10" s="25"/>
      <c r="D10" s="54"/>
      <c r="E10" s="54"/>
      <c r="G10" s="54"/>
      <c r="H10" s="54"/>
      <c r="I10" s="60"/>
      <c r="J10" s="60"/>
    </row>
    <row r="11" spans="1:10" ht="12.6" thickBot="1" x14ac:dyDescent="0.45">
      <c r="A11" s="33"/>
      <c r="B11" s="25"/>
      <c r="D11" s="54"/>
      <c r="E11" s="54"/>
      <c r="G11" s="60"/>
      <c r="H11" s="60"/>
      <c r="I11" s="54"/>
      <c r="J11" s="54"/>
    </row>
    <row r="12" spans="1:10" ht="12.6" thickBot="1" x14ac:dyDescent="0.45">
      <c r="A12" s="33"/>
      <c r="B12" s="25"/>
      <c r="D12" s="54"/>
      <c r="E12" s="54"/>
      <c r="G12" s="54"/>
      <c r="H12" s="54"/>
      <c r="I12" s="54"/>
      <c r="J12" s="54"/>
    </row>
    <row r="13" spans="1:10" ht="12.6" thickBot="1" x14ac:dyDescent="0.45">
      <c r="A13" s="33"/>
      <c r="B13" s="25"/>
      <c r="D13" s="53"/>
      <c r="E13" s="53"/>
      <c r="G13" s="33"/>
      <c r="H13" s="25"/>
      <c r="I13" s="60"/>
      <c r="J13" s="54"/>
    </row>
    <row r="14" spans="1:10" ht="12.6" thickBot="1" x14ac:dyDescent="0.45">
      <c r="A14" s="33"/>
      <c r="B14" s="25"/>
      <c r="D14" s="60"/>
      <c r="E14" s="60"/>
      <c r="G14" s="33"/>
      <c r="H14" s="25"/>
    </row>
    <row r="15" spans="1:10" ht="12.6" thickBot="1" x14ac:dyDescent="0.45">
      <c r="A15" s="33"/>
      <c r="B15" s="25"/>
      <c r="D15" s="54"/>
      <c r="E15" s="54"/>
      <c r="G15" s="33"/>
      <c r="H15" s="25"/>
    </row>
    <row r="16" spans="1:10" ht="12.6" thickBot="1" x14ac:dyDescent="0.45">
      <c r="D16" s="60"/>
      <c r="E16" s="60"/>
      <c r="G16" s="33"/>
      <c r="H16" s="25"/>
    </row>
    <row r="17" spans="4:8" ht="12.6" thickBot="1" x14ac:dyDescent="0.45">
      <c r="D17" s="53"/>
      <c r="E17" s="53"/>
      <c r="G17" s="33"/>
      <c r="H17" s="25"/>
    </row>
    <row r="18" spans="4:8" ht="12.6" thickBot="1" x14ac:dyDescent="0.45">
      <c r="D18" s="54"/>
      <c r="E18" s="54"/>
    </row>
    <row r="19" spans="4:8" ht="12.6" thickBot="1" x14ac:dyDescent="0.45">
      <c r="D19" s="54"/>
      <c r="E19" s="54"/>
    </row>
    <row r="20" spans="4:8" ht="12.6" thickBot="1" x14ac:dyDescent="0.45">
      <c r="D20" s="54"/>
      <c r="E20" s="54"/>
    </row>
    <row r="21" spans="4:8" ht="12.6" thickBot="1" x14ac:dyDescent="0.45">
      <c r="D21" s="54"/>
      <c r="E21" s="54"/>
    </row>
    <row r="22" spans="4:8" ht="12.6" thickBot="1" x14ac:dyDescent="0.45">
      <c r="D22" s="53"/>
      <c r="E22" s="53"/>
    </row>
    <row r="23" spans="4:8" ht="12.6" thickBot="1" x14ac:dyDescent="0.45">
      <c r="D23" s="60"/>
      <c r="E23" s="60"/>
    </row>
    <row r="24" spans="4:8" ht="12.6" thickBot="1" x14ac:dyDescent="0.45">
      <c r="D24" s="33"/>
      <c r="E24" s="25"/>
    </row>
    <row r="25" spans="4:8" ht="12.6" thickBot="1" x14ac:dyDescent="0.45">
      <c r="D25" s="33"/>
      <c r="E25" s="25"/>
    </row>
    <row r="26" spans="4:8" ht="12.6" thickBot="1" x14ac:dyDescent="0.45">
      <c r="D26" s="33"/>
      <c r="E26" s="25"/>
    </row>
    <row r="43" spans="1:10" ht="12.6" thickBot="1" x14ac:dyDescent="0.45"/>
    <row r="44" spans="1:10" ht="12.6" thickBot="1" x14ac:dyDescent="0.45">
      <c r="A44" s="60"/>
      <c r="B44" s="60"/>
      <c r="D44" s="54"/>
      <c r="E44" s="54"/>
      <c r="G44" s="60"/>
      <c r="H44" s="60"/>
      <c r="I44" s="54"/>
      <c r="J44" s="54"/>
    </row>
    <row r="45" spans="1:10" ht="12.6" thickBot="1" x14ac:dyDescent="0.45">
      <c r="A45" s="54"/>
      <c r="B45" s="54"/>
      <c r="D45" s="54"/>
      <c r="E45" s="54"/>
      <c r="G45" s="54"/>
      <c r="H45" s="54"/>
      <c r="I45" s="54"/>
      <c r="J45" s="54"/>
    </row>
    <row r="46" spans="1:10" ht="12.6" thickBot="1" x14ac:dyDescent="0.45">
      <c r="A46" s="54"/>
      <c r="B46" s="54"/>
      <c r="D46" s="60"/>
      <c r="E46" s="60"/>
      <c r="G46" s="60"/>
      <c r="H46" s="60"/>
      <c r="I46" s="60"/>
      <c r="J46" s="60"/>
    </row>
    <row r="47" spans="1:10" ht="12.6" thickBot="1" x14ac:dyDescent="0.45">
      <c r="A47" s="60"/>
      <c r="B47" s="60"/>
      <c r="D47" s="60"/>
      <c r="E47" s="60"/>
      <c r="G47" s="54"/>
      <c r="H47" s="54"/>
      <c r="I47" s="54"/>
      <c r="J47" s="54"/>
    </row>
    <row r="48" spans="1:10" ht="12.6" thickBot="1" x14ac:dyDescent="0.45">
      <c r="A48" s="60"/>
      <c r="B48" s="60"/>
      <c r="D48" s="60"/>
      <c r="E48" s="60"/>
      <c r="G48" s="54"/>
      <c r="H48" s="54"/>
      <c r="I48" s="60"/>
      <c r="J48" s="60"/>
    </row>
    <row r="49" spans="1:10" ht="12.6" thickBot="1" x14ac:dyDescent="0.45">
      <c r="A49" s="54"/>
      <c r="B49" s="54"/>
      <c r="D49" s="54"/>
      <c r="E49" s="54"/>
      <c r="G49" s="60"/>
      <c r="H49" s="60"/>
      <c r="I49" s="54"/>
      <c r="J49" s="54"/>
    </row>
    <row r="50" spans="1:10" ht="12.6" thickBot="1" x14ac:dyDescent="0.45">
      <c r="A50" s="54"/>
      <c r="B50" s="54"/>
      <c r="D50" s="49"/>
      <c r="E50" s="49"/>
      <c r="G50" s="33"/>
      <c r="H50" s="25"/>
      <c r="I50" s="60"/>
      <c r="J50" s="60"/>
    </row>
    <row r="51" spans="1:10" ht="12.6" thickBot="1" x14ac:dyDescent="0.45">
      <c r="A51" s="54"/>
      <c r="B51" s="54"/>
      <c r="D51" s="60"/>
      <c r="E51" s="60"/>
      <c r="G51" s="33"/>
      <c r="H51" s="25"/>
      <c r="I51" s="54"/>
      <c r="J51" s="54"/>
    </row>
    <row r="52" spans="1:10" ht="12.6" thickBot="1" x14ac:dyDescent="0.45">
      <c r="A52" s="33"/>
      <c r="B52" s="25"/>
      <c r="D52" s="54"/>
      <c r="E52" s="54"/>
      <c r="G52" s="33"/>
      <c r="H52" s="25"/>
      <c r="I52" s="60"/>
      <c r="J52" s="60"/>
    </row>
    <row r="53" spans="1:10" ht="12.6" thickBot="1" x14ac:dyDescent="0.45">
      <c r="A53" s="33"/>
      <c r="B53" s="25"/>
      <c r="D53" s="33"/>
      <c r="E53" s="25"/>
      <c r="G53" s="33"/>
      <c r="H53" s="25"/>
      <c r="I53" s="59"/>
      <c r="J53" s="59"/>
    </row>
    <row r="54" spans="1:10" ht="12.6" thickBot="1" x14ac:dyDescent="0.45">
      <c r="A54" s="33"/>
      <c r="B54" s="25"/>
      <c r="D54" s="33"/>
      <c r="E54" s="25"/>
      <c r="G54" s="33"/>
      <c r="H54" s="25"/>
      <c r="I54" s="54"/>
      <c r="J54" s="54"/>
    </row>
    <row r="55" spans="1:10" ht="12.6" thickBot="1" x14ac:dyDescent="0.45">
      <c r="A55" s="33"/>
      <c r="B55" s="25"/>
      <c r="D55" s="33"/>
      <c r="E55" s="25"/>
      <c r="I55" s="33"/>
      <c r="J55" s="25"/>
    </row>
    <row r="56" spans="1:10" ht="12.6" thickBot="1" x14ac:dyDescent="0.45">
      <c r="A56" s="33"/>
      <c r="B56" s="25"/>
      <c r="D56" s="33"/>
      <c r="E56" s="25"/>
      <c r="I56" s="33"/>
      <c r="J56" s="25"/>
    </row>
    <row r="57" spans="1:10" ht="12.6" thickBot="1" x14ac:dyDescent="0.45">
      <c r="A57" s="33"/>
      <c r="B57" s="25"/>
      <c r="I57" s="33"/>
      <c r="J57" s="25"/>
    </row>
    <row r="58" spans="1:10" ht="12.6" thickBot="1" x14ac:dyDescent="0.45">
      <c r="A58" s="33"/>
      <c r="B58" s="25"/>
      <c r="I58" s="33"/>
      <c r="J58" s="25"/>
    </row>
    <row r="59" spans="1:10" ht="12.6" thickBot="1" x14ac:dyDescent="0.45">
      <c r="I59" s="33"/>
      <c r="J59" s="25"/>
    </row>
    <row r="88" spans="1:8" ht="12.6" thickBot="1" x14ac:dyDescent="0.45"/>
    <row r="89" spans="1:8" ht="12.6" thickBot="1" x14ac:dyDescent="0.45">
      <c r="A89" s="60"/>
      <c r="B89" s="60"/>
      <c r="D89" s="54"/>
      <c r="E89" s="54"/>
      <c r="G89" s="60"/>
      <c r="H89" s="60"/>
    </row>
    <row r="90" spans="1:8" ht="12.6" thickBot="1" x14ac:dyDescent="0.45">
      <c r="A90" s="60"/>
      <c r="B90" s="60"/>
      <c r="D90" s="60"/>
      <c r="E90" s="60"/>
      <c r="G90" s="54"/>
      <c r="H90" s="60"/>
    </row>
    <row r="91" spans="1:8" ht="12.6" thickBot="1" x14ac:dyDescent="0.45">
      <c r="A91" s="54"/>
      <c r="B91" s="54"/>
      <c r="D91" s="53"/>
      <c r="E91" s="53"/>
      <c r="G91" s="60"/>
      <c r="H91" s="60"/>
    </row>
    <row r="92" spans="1:8" ht="12.6" thickBot="1" x14ac:dyDescent="0.45">
      <c r="A92" s="60"/>
      <c r="B92" s="60"/>
      <c r="D92" s="54"/>
      <c r="E92" s="54"/>
      <c r="G92" s="60"/>
      <c r="H92" s="60"/>
    </row>
    <row r="93" spans="1:8" ht="12.6" thickBot="1" x14ac:dyDescent="0.45">
      <c r="A93" s="60"/>
      <c r="B93" s="60"/>
      <c r="D93" s="54"/>
      <c r="E93" s="54"/>
      <c r="G93" s="54"/>
      <c r="H93" s="54"/>
    </row>
    <row r="94" spans="1:8" ht="12.6" thickBot="1" x14ac:dyDescent="0.45">
      <c r="A94" s="60"/>
      <c r="B94" s="60"/>
      <c r="D94" s="33"/>
      <c r="E94" s="25"/>
      <c r="G94" s="60"/>
      <c r="H94" s="60"/>
    </row>
    <row r="95" spans="1:8" ht="12.6" thickBot="1" x14ac:dyDescent="0.45">
      <c r="A95" s="59"/>
      <c r="B95" s="59"/>
      <c r="D95" s="33"/>
      <c r="E95" s="25"/>
      <c r="G95" s="60"/>
      <c r="H95" s="60"/>
    </row>
    <row r="96" spans="1:8" ht="12.6" thickBot="1" x14ac:dyDescent="0.45">
      <c r="A96" s="54"/>
      <c r="B96" s="54"/>
      <c r="D96" s="33"/>
      <c r="E96" s="25"/>
      <c r="G96" s="53"/>
      <c r="H96" s="53"/>
    </row>
    <row r="97" spans="1:8" ht="12.6" thickBot="1" x14ac:dyDescent="0.45">
      <c r="A97" s="60"/>
      <c r="B97" s="60"/>
      <c r="D97" s="33"/>
      <c r="E97" s="25"/>
      <c r="G97" s="60"/>
      <c r="H97" s="60"/>
    </row>
    <row r="98" spans="1:8" ht="12.6" thickBot="1" x14ac:dyDescent="0.45">
      <c r="A98" s="60"/>
      <c r="B98" s="60"/>
      <c r="G98" s="54"/>
      <c r="H98" s="54"/>
    </row>
    <row r="99" spans="1:8" ht="12.6" thickBot="1" x14ac:dyDescent="0.45">
      <c r="A99" s="54"/>
      <c r="B99" s="54"/>
      <c r="G99" s="54"/>
      <c r="H99" s="54"/>
    </row>
    <row r="100" spans="1:8" ht="12.6" thickBot="1" x14ac:dyDescent="0.45">
      <c r="A100" s="54"/>
      <c r="B100" s="54"/>
      <c r="G100" s="60"/>
      <c r="H100" s="60"/>
    </row>
    <row r="101" spans="1:8" ht="12.6" thickBot="1" x14ac:dyDescent="0.45">
      <c r="A101" s="53"/>
      <c r="B101" s="53"/>
      <c r="G101" s="33"/>
      <c r="H101" s="25"/>
    </row>
    <row r="102" spans="1:8" ht="12.6" thickBot="1" x14ac:dyDescent="0.45">
      <c r="A102" s="54"/>
      <c r="B102" s="54"/>
      <c r="G102" s="33"/>
      <c r="H102" s="25"/>
    </row>
    <row r="103" spans="1:8" ht="12.6" thickBot="1" x14ac:dyDescent="0.45">
      <c r="A103" s="54"/>
      <c r="B103" s="54"/>
      <c r="G103" s="33"/>
      <c r="H103" s="25"/>
    </row>
    <row r="104" spans="1:8" ht="12.6" thickBot="1" x14ac:dyDescent="0.45">
      <c r="A104" s="54"/>
      <c r="B104" s="54"/>
    </row>
    <row r="105" spans="1:8" ht="12.6" thickBot="1" x14ac:dyDescent="0.45">
      <c r="A105" s="54"/>
      <c r="B105" s="54"/>
    </row>
    <row r="106" spans="1:8" ht="12.6" thickBot="1" x14ac:dyDescent="0.45">
      <c r="A106" s="54"/>
      <c r="B106" s="54"/>
    </row>
    <row r="107" spans="1:8" ht="12.6" thickBot="1" x14ac:dyDescent="0.45">
      <c r="A107" s="54"/>
      <c r="B107" s="54"/>
    </row>
    <row r="108" spans="1:8" ht="12.6" thickBot="1" x14ac:dyDescent="0.45">
      <c r="A108" s="54"/>
      <c r="B108" s="54"/>
    </row>
    <row r="109" spans="1:8" ht="12.6" thickBot="1" x14ac:dyDescent="0.45">
      <c r="A109" s="33"/>
      <c r="B109" s="25"/>
    </row>
    <row r="110" spans="1:8" ht="12.6" thickBot="1" x14ac:dyDescent="0.45">
      <c r="A110" s="33"/>
      <c r="B110" s="25"/>
    </row>
    <row r="111" spans="1:8" ht="12.6" thickBot="1" x14ac:dyDescent="0.45">
      <c r="A111" s="33"/>
      <c r="B111" s="25"/>
    </row>
    <row r="112" spans="1:8" ht="12.6" thickBot="1" x14ac:dyDescent="0.45">
      <c r="A112" s="33"/>
      <c r="B112" s="25"/>
    </row>
    <row r="113" spans="1:2" ht="12.6" thickBot="1" x14ac:dyDescent="0.45">
      <c r="A113" s="33"/>
      <c r="B113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01"/>
  <sheetViews>
    <sheetView workbookViewId="0">
      <selection activeCell="I100" sqref="I100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54"/>
      <c r="B2" s="54"/>
      <c r="D2" s="54"/>
      <c r="E2" s="54"/>
      <c r="G2" s="60"/>
      <c r="H2" s="60"/>
    </row>
    <row r="3" spans="1:8" ht="12.6" thickBot="1" x14ac:dyDescent="0.45">
      <c r="A3" s="54"/>
      <c r="B3" s="54"/>
      <c r="D3" s="60"/>
      <c r="E3" s="60"/>
      <c r="G3" s="60"/>
      <c r="H3" s="60"/>
    </row>
    <row r="4" spans="1:8" ht="12.6" thickBot="1" x14ac:dyDescent="0.45">
      <c r="A4" s="60"/>
      <c r="B4" s="60"/>
      <c r="D4" s="54"/>
      <c r="E4" s="54"/>
      <c r="G4" s="53"/>
      <c r="H4" s="53"/>
    </row>
    <row r="5" spans="1:8" ht="12.6" thickBot="1" x14ac:dyDescent="0.45">
      <c r="A5" s="54"/>
      <c r="B5" s="54"/>
      <c r="D5" s="60"/>
      <c r="E5" s="60"/>
      <c r="G5" s="60"/>
      <c r="H5" s="60"/>
    </row>
    <row r="6" spans="1:8" ht="12.6" thickBot="1" x14ac:dyDescent="0.45">
      <c r="A6" s="60"/>
      <c r="B6" s="60"/>
      <c r="D6" s="60"/>
      <c r="E6" s="60"/>
      <c r="G6" s="60"/>
      <c r="H6" s="60"/>
    </row>
    <row r="7" spans="1:8" ht="12.6" thickBot="1" x14ac:dyDescent="0.45">
      <c r="A7" s="60"/>
      <c r="B7" s="60"/>
      <c r="D7" s="60"/>
      <c r="E7" s="60"/>
      <c r="G7" s="54"/>
      <c r="H7" s="54"/>
    </row>
    <row r="8" spans="1:8" ht="12.6" thickBot="1" x14ac:dyDescent="0.45">
      <c r="A8" s="53"/>
      <c r="B8" s="53"/>
      <c r="D8" s="60"/>
      <c r="E8" s="60"/>
      <c r="G8" s="54"/>
      <c r="H8" s="54"/>
    </row>
    <row r="9" spans="1:8" ht="12.6" thickBot="1" x14ac:dyDescent="0.45">
      <c r="A9" s="54"/>
      <c r="B9" s="54"/>
      <c r="D9" s="60"/>
      <c r="E9" s="60"/>
      <c r="G9" s="53"/>
      <c r="H9" s="53"/>
    </row>
    <row r="10" spans="1:8" ht="12.6" thickBot="1" x14ac:dyDescent="0.45">
      <c r="A10" s="54"/>
      <c r="B10" s="54"/>
      <c r="D10" s="54"/>
      <c r="E10" s="54"/>
      <c r="G10" s="54"/>
      <c r="H10" s="54"/>
    </row>
    <row r="11" spans="1:8" ht="12.6" thickBot="1" x14ac:dyDescent="0.45">
      <c r="A11" s="60"/>
      <c r="B11" s="60"/>
      <c r="D11" s="60"/>
      <c r="E11" s="60"/>
      <c r="G11" s="54"/>
      <c r="H11" s="54"/>
    </row>
    <row r="12" spans="1:8" ht="12.6" thickBot="1" x14ac:dyDescent="0.45">
      <c r="A12" s="33"/>
      <c r="B12" s="25"/>
      <c r="D12" s="54"/>
      <c r="E12" s="54"/>
      <c r="G12" s="60"/>
      <c r="H12" s="60"/>
    </row>
    <row r="13" spans="1:8" ht="12.6" thickBot="1" x14ac:dyDescent="0.45">
      <c r="A13" s="33"/>
      <c r="B13" s="25"/>
      <c r="D13" s="60"/>
      <c r="E13" s="60"/>
      <c r="G13" s="33"/>
      <c r="H13" s="25"/>
    </row>
    <row r="14" spans="1:8" ht="12.6" thickBot="1" x14ac:dyDescent="0.45">
      <c r="A14" s="33"/>
      <c r="B14" s="25"/>
      <c r="D14" s="54"/>
      <c r="E14" s="54"/>
      <c r="G14" s="33"/>
      <c r="H14" s="25"/>
    </row>
    <row r="15" spans="1:8" ht="12.6" thickBot="1" x14ac:dyDescent="0.45">
      <c r="A15" s="33"/>
      <c r="B15" s="25"/>
      <c r="D15" s="54"/>
      <c r="E15" s="54"/>
      <c r="G15" s="33"/>
      <c r="H15" s="25"/>
    </row>
    <row r="16" spans="1:8" ht="12.6" thickBot="1" x14ac:dyDescent="0.45">
      <c r="D16" s="54"/>
      <c r="E16" s="54"/>
    </row>
    <row r="17" spans="4:5" ht="12.6" thickBot="1" x14ac:dyDescent="0.45">
      <c r="D17" s="60"/>
      <c r="E17" s="60"/>
    </row>
    <row r="18" spans="4:5" ht="12.6" thickBot="1" x14ac:dyDescent="0.45">
      <c r="D18" s="54"/>
      <c r="E18" s="54"/>
    </row>
    <row r="19" spans="4:5" ht="12.6" thickBot="1" x14ac:dyDescent="0.45">
      <c r="D19" s="49"/>
      <c r="E19" s="49"/>
    </row>
    <row r="20" spans="4:5" ht="12.6" thickBot="1" x14ac:dyDescent="0.45">
      <c r="D20" s="54"/>
      <c r="E20" s="54"/>
    </row>
    <row r="21" spans="4:5" ht="12.6" thickBot="1" x14ac:dyDescent="0.45">
      <c r="D21" s="60"/>
      <c r="E21" s="60"/>
    </row>
    <row r="22" spans="4:5" ht="12.6" thickBot="1" x14ac:dyDescent="0.45">
      <c r="D22" s="54"/>
      <c r="E22" s="54"/>
    </row>
    <row r="23" spans="4:5" ht="12.6" thickBot="1" x14ac:dyDescent="0.45">
      <c r="D23" s="54"/>
      <c r="E23" s="54"/>
    </row>
    <row r="24" spans="4:5" ht="12.6" thickBot="1" x14ac:dyDescent="0.45">
      <c r="D24" s="33"/>
      <c r="E24" s="25"/>
    </row>
    <row r="25" spans="4:5" ht="12.6" thickBot="1" x14ac:dyDescent="0.45">
      <c r="D25" s="33"/>
      <c r="E25" s="25"/>
    </row>
    <row r="26" spans="4:5" ht="12.6" thickBot="1" x14ac:dyDescent="0.45">
      <c r="D26" s="33"/>
      <c r="E26" s="25"/>
    </row>
    <row r="42" spans="1:8" ht="12.6" thickBot="1" x14ac:dyDescent="0.45">
      <c r="D42" s="62"/>
    </row>
    <row r="43" spans="1:8" ht="12.6" thickBot="1" x14ac:dyDescent="0.45">
      <c r="A43" s="60"/>
      <c r="B43" s="60"/>
      <c r="D43" s="54"/>
      <c r="E43" s="54"/>
      <c r="G43" s="60"/>
      <c r="H43" s="60"/>
    </row>
    <row r="44" spans="1:8" ht="12.6" thickBot="1" x14ac:dyDescent="0.45">
      <c r="A44" s="60"/>
      <c r="B44" s="60"/>
      <c r="D44" s="60"/>
      <c r="E44" s="60"/>
      <c r="G44" s="54"/>
      <c r="H44" s="60"/>
    </row>
    <row r="45" spans="1:8" ht="12.6" thickBot="1" x14ac:dyDescent="0.45">
      <c r="A45" s="54"/>
      <c r="B45" s="54"/>
      <c r="D45" s="60"/>
      <c r="E45" s="60"/>
      <c r="G45" s="60"/>
      <c r="H45" s="60"/>
    </row>
    <row r="46" spans="1:8" ht="12.6" thickBot="1" x14ac:dyDescent="0.45">
      <c r="A46" s="54"/>
      <c r="B46" s="54"/>
      <c r="D46" s="60"/>
      <c r="E46" s="60"/>
      <c r="G46" s="60"/>
      <c r="H46" s="60"/>
    </row>
    <row r="47" spans="1:8" ht="12.6" thickBot="1" x14ac:dyDescent="0.45">
      <c r="A47" s="54"/>
      <c r="B47" s="54"/>
      <c r="D47" s="54"/>
      <c r="E47" s="54"/>
      <c r="G47" s="54"/>
      <c r="H47" s="54"/>
    </row>
    <row r="48" spans="1:8" ht="12.6" thickBot="1" x14ac:dyDescent="0.45">
      <c r="A48" s="54"/>
      <c r="B48" s="54"/>
      <c r="D48" s="33"/>
      <c r="E48" s="25"/>
      <c r="G48" s="60"/>
      <c r="H48" s="60"/>
    </row>
    <row r="49" spans="1:8" ht="12.6" thickBot="1" x14ac:dyDescent="0.45">
      <c r="A49" s="60"/>
      <c r="B49" s="60"/>
      <c r="D49" s="33"/>
      <c r="E49" s="25"/>
      <c r="G49" s="60"/>
      <c r="H49" s="60"/>
    </row>
    <row r="50" spans="1:8" ht="12.6" thickBot="1" x14ac:dyDescent="0.45">
      <c r="A50" s="54"/>
      <c r="B50" s="54"/>
      <c r="D50" s="33"/>
      <c r="E50" s="25"/>
      <c r="G50" s="53"/>
      <c r="H50" s="53"/>
    </row>
    <row r="51" spans="1:8" ht="12.6" thickBot="1" x14ac:dyDescent="0.45">
      <c r="A51" s="60"/>
      <c r="B51" s="60"/>
      <c r="D51" s="33"/>
      <c r="E51" s="25"/>
      <c r="G51" s="60"/>
      <c r="H51" s="60"/>
    </row>
    <row r="52" spans="1:8" ht="12.6" thickBot="1" x14ac:dyDescent="0.45">
      <c r="A52" s="54"/>
      <c r="B52" s="54"/>
      <c r="D52" s="33"/>
      <c r="E52" s="25"/>
      <c r="G52" s="54"/>
      <c r="H52" s="54"/>
    </row>
    <row r="53" spans="1:8" ht="12.6" thickBot="1" x14ac:dyDescent="0.45">
      <c r="A53" s="60"/>
      <c r="B53" s="60"/>
      <c r="G53" s="54"/>
      <c r="H53" s="54"/>
    </row>
    <row r="54" spans="1:8" ht="12.6" thickBot="1" x14ac:dyDescent="0.45">
      <c r="A54" s="54"/>
      <c r="B54" s="54"/>
      <c r="G54" s="60"/>
      <c r="H54" s="60"/>
    </row>
    <row r="55" spans="1:8" ht="12.6" thickBot="1" x14ac:dyDescent="0.45">
      <c r="A55" s="54"/>
      <c r="B55" s="54"/>
      <c r="G55" s="33"/>
      <c r="H55" s="25"/>
    </row>
    <row r="56" spans="1:8" ht="12.6" thickBot="1" x14ac:dyDescent="0.45">
      <c r="A56" s="54"/>
      <c r="B56" s="54"/>
      <c r="G56" s="33"/>
      <c r="H56" s="25"/>
    </row>
    <row r="57" spans="1:8" ht="12.6" thickBot="1" x14ac:dyDescent="0.45">
      <c r="A57" s="54"/>
      <c r="B57" s="54"/>
      <c r="G57" s="33"/>
      <c r="H57" s="25"/>
    </row>
    <row r="58" spans="1:8" ht="12.6" thickBot="1" x14ac:dyDescent="0.45">
      <c r="A58" s="33"/>
      <c r="B58" s="25"/>
    </row>
    <row r="59" spans="1:8" ht="12.6" thickBot="1" x14ac:dyDescent="0.45">
      <c r="A59" s="33"/>
      <c r="B59" s="25"/>
    </row>
    <row r="60" spans="1:8" ht="12.6" thickBot="1" x14ac:dyDescent="0.45">
      <c r="A60" s="33"/>
      <c r="B60" s="25"/>
    </row>
    <row r="62" spans="1:8" ht="12.6" thickBot="1" x14ac:dyDescent="0.45">
      <c r="A62" s="62"/>
    </row>
    <row r="63" spans="1:8" ht="12.6" thickBot="1" x14ac:dyDescent="0.45">
      <c r="A63" s="60"/>
      <c r="B63" s="60"/>
      <c r="D63" s="53"/>
      <c r="E63" s="53"/>
      <c r="G63" s="60"/>
      <c r="H63" s="60"/>
    </row>
    <row r="64" spans="1:8" ht="12.6" thickBot="1" x14ac:dyDescent="0.45">
      <c r="A64" s="54"/>
      <c r="B64" s="54"/>
      <c r="D64" s="54"/>
      <c r="E64" s="54"/>
      <c r="G64" s="54"/>
      <c r="H64" s="54"/>
    </row>
    <row r="65" spans="1:8" ht="12.6" thickBot="1" x14ac:dyDescent="0.45">
      <c r="A65" s="60"/>
      <c r="B65" s="60"/>
      <c r="D65" s="54"/>
      <c r="E65" s="54"/>
      <c r="G65" s="59"/>
      <c r="H65" s="59"/>
    </row>
    <row r="66" spans="1:8" ht="12.6" thickBot="1" x14ac:dyDescent="0.45">
      <c r="A66" s="60"/>
      <c r="B66" s="60"/>
      <c r="D66" s="54"/>
      <c r="E66" s="54"/>
      <c r="G66" s="54"/>
      <c r="H66" s="54"/>
    </row>
    <row r="67" spans="1:8" ht="12.6" thickBot="1" x14ac:dyDescent="0.45">
      <c r="A67" s="54"/>
      <c r="B67" s="54"/>
      <c r="D67" s="54"/>
      <c r="E67" s="54"/>
      <c r="G67" s="54"/>
      <c r="H67" s="54"/>
    </row>
    <row r="68" spans="1:8" ht="12.6" thickBot="1" x14ac:dyDescent="0.45">
      <c r="A68" s="54"/>
      <c r="B68" s="54"/>
      <c r="D68" s="54"/>
      <c r="E68" s="54"/>
      <c r="G68" s="60"/>
      <c r="H68" s="60"/>
    </row>
    <row r="69" spans="1:8" ht="12.6" thickBot="1" x14ac:dyDescent="0.45">
      <c r="A69" s="54"/>
      <c r="B69" s="54"/>
      <c r="D69" s="54"/>
      <c r="E69" s="54"/>
      <c r="G69" s="33"/>
      <c r="H69" s="25"/>
    </row>
    <row r="70" spans="1:8" ht="12.6" thickBot="1" x14ac:dyDescent="0.45">
      <c r="A70" s="33"/>
      <c r="B70" s="25"/>
      <c r="D70" s="33"/>
      <c r="E70" s="25"/>
      <c r="G70" s="33"/>
      <c r="H70" s="25"/>
    </row>
    <row r="71" spans="1:8" ht="12.6" thickBot="1" x14ac:dyDescent="0.45">
      <c r="A71" s="33"/>
      <c r="B71" s="25"/>
      <c r="D71" s="33"/>
      <c r="E71" s="25"/>
      <c r="G71" s="33"/>
      <c r="H71" s="25"/>
    </row>
    <row r="72" spans="1:8" ht="12.6" thickBot="1" x14ac:dyDescent="0.45">
      <c r="A72" s="33"/>
      <c r="B72" s="25"/>
      <c r="D72" s="33"/>
      <c r="E72" s="25"/>
      <c r="G72" s="33"/>
      <c r="H72" s="25"/>
    </row>
    <row r="73" spans="1:8" ht="12.6" thickBot="1" x14ac:dyDescent="0.45">
      <c r="A73" s="33"/>
      <c r="B73" s="25"/>
      <c r="D73" s="33"/>
      <c r="E73" s="25"/>
      <c r="G73" s="33"/>
      <c r="H73" s="25"/>
    </row>
    <row r="74" spans="1:8" ht="12.6" thickBot="1" x14ac:dyDescent="0.45">
      <c r="A74" s="33"/>
      <c r="B74" s="25"/>
      <c r="D74" s="33"/>
      <c r="E74" s="25"/>
    </row>
    <row r="75" spans="1:8" ht="12.6" thickBot="1" x14ac:dyDescent="0.45">
      <c r="A75" s="33"/>
      <c r="B75" s="25"/>
      <c r="D75" s="33"/>
      <c r="E75" s="25"/>
    </row>
    <row r="76" spans="1:8" ht="12.6" thickBot="1" x14ac:dyDescent="0.45">
      <c r="A76" s="33"/>
      <c r="B76" s="25"/>
    </row>
    <row r="77" spans="1:8" ht="12.6" thickBot="1" x14ac:dyDescent="0.45">
      <c r="A77" s="33"/>
      <c r="B77" s="25"/>
    </row>
    <row r="78" spans="1:8" ht="12.6" thickBot="1" x14ac:dyDescent="0.45">
      <c r="A78" s="33"/>
      <c r="B78" s="25"/>
    </row>
    <row r="81" spans="1:5" ht="12.6" thickBot="1" x14ac:dyDescent="0.45">
      <c r="A81" s="62"/>
    </row>
    <row r="82" spans="1:5" ht="12.6" thickBot="1" x14ac:dyDescent="0.45">
      <c r="A82" s="54"/>
      <c r="B82" s="54"/>
      <c r="D82" s="53"/>
      <c r="E82" s="53"/>
    </row>
    <row r="83" spans="1:5" ht="12.6" thickBot="1" x14ac:dyDescent="0.45">
      <c r="A83" s="54"/>
      <c r="B83" s="54"/>
      <c r="D83" s="59"/>
      <c r="E83" s="59"/>
    </row>
    <row r="84" spans="1:5" ht="12.6" thickBot="1" x14ac:dyDescent="0.45">
      <c r="A84" s="54"/>
      <c r="B84" s="54"/>
      <c r="D84" s="53"/>
      <c r="E84" s="53"/>
    </row>
    <row r="85" spans="1:5" ht="12.6" thickBot="1" x14ac:dyDescent="0.45">
      <c r="A85" s="60"/>
      <c r="B85" s="60"/>
      <c r="D85" s="60"/>
      <c r="E85" s="60"/>
    </row>
    <row r="86" spans="1:5" ht="12.6" thickBot="1" x14ac:dyDescent="0.45">
      <c r="A86" s="54"/>
      <c r="B86" s="54"/>
      <c r="D86" s="54"/>
      <c r="E86" s="54"/>
    </row>
    <row r="87" spans="1:5" ht="12.6" thickBot="1" x14ac:dyDescent="0.45">
      <c r="A87" s="54"/>
      <c r="B87" s="54"/>
      <c r="D87" s="54"/>
      <c r="E87" s="54"/>
    </row>
    <row r="88" spans="1:5" ht="12.6" thickBot="1" x14ac:dyDescent="0.45">
      <c r="A88" s="60"/>
      <c r="B88" s="60"/>
      <c r="D88" s="54"/>
      <c r="E88" s="54"/>
    </row>
    <row r="89" spans="1:5" ht="12.6" thickBot="1" x14ac:dyDescent="0.45">
      <c r="A89" s="60"/>
      <c r="B89" s="54"/>
      <c r="D89" s="54"/>
      <c r="E89" s="54"/>
    </row>
    <row r="90" spans="1:5" ht="12.6" thickBot="1" x14ac:dyDescent="0.45">
      <c r="A90" s="53"/>
      <c r="B90" s="53"/>
      <c r="D90" s="54"/>
      <c r="E90" s="54"/>
    </row>
    <row r="91" spans="1:5" ht="12.6" thickBot="1" x14ac:dyDescent="0.45">
      <c r="A91" s="60"/>
      <c r="B91" s="60"/>
      <c r="D91" s="60"/>
      <c r="E91" s="60"/>
    </row>
    <row r="92" spans="1:5" ht="12.6" thickBot="1" x14ac:dyDescent="0.45">
      <c r="A92" s="53"/>
      <c r="B92" s="53"/>
      <c r="D92" s="54"/>
      <c r="E92" s="54"/>
    </row>
    <row r="93" spans="1:5" ht="12.6" thickBot="1" x14ac:dyDescent="0.45">
      <c r="A93" s="54"/>
      <c r="B93" s="54"/>
      <c r="D93" s="54"/>
      <c r="E93" s="54"/>
    </row>
    <row r="94" spans="1:5" ht="12.6" thickBot="1" x14ac:dyDescent="0.45">
      <c r="A94" s="60"/>
      <c r="B94" s="60"/>
      <c r="D94" s="60"/>
      <c r="E94" s="60"/>
    </row>
    <row r="95" spans="1:5" ht="12.6" thickBot="1" x14ac:dyDescent="0.45">
      <c r="A95" s="59"/>
      <c r="B95" s="59"/>
      <c r="D95" s="60"/>
      <c r="E95" s="60"/>
    </row>
    <row r="96" spans="1:5" ht="12.6" thickBot="1" x14ac:dyDescent="0.45">
      <c r="A96" s="33"/>
      <c r="B96" s="25"/>
      <c r="D96" s="60"/>
      <c r="E96" s="60"/>
    </row>
    <row r="97" spans="4:5" ht="12.6" thickBot="1" x14ac:dyDescent="0.45">
      <c r="D97" s="33"/>
      <c r="E97" s="25"/>
    </row>
    <row r="98" spans="4:5" ht="12.6" thickBot="1" x14ac:dyDescent="0.45">
      <c r="D98" s="33"/>
      <c r="E98" s="25"/>
    </row>
    <row r="99" spans="4:5" ht="12.6" thickBot="1" x14ac:dyDescent="0.45">
      <c r="D99" s="33"/>
      <c r="E99" s="25"/>
    </row>
    <row r="100" spans="4:5" ht="12.6" thickBot="1" x14ac:dyDescent="0.45">
      <c r="D100" s="33"/>
      <c r="E100" s="25"/>
    </row>
    <row r="101" spans="4:5" ht="12.6" thickBot="1" x14ac:dyDescent="0.45">
      <c r="D101" s="33"/>
      <c r="E101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02"/>
  <sheetViews>
    <sheetView topLeftCell="A50" workbookViewId="0">
      <selection activeCell="I64" sqref="I64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60"/>
      <c r="B2" s="60"/>
      <c r="D2" s="60"/>
      <c r="E2" s="60"/>
      <c r="G2" s="60"/>
      <c r="H2" s="60"/>
    </row>
    <row r="3" spans="1:8" ht="12.6" thickBot="1" x14ac:dyDescent="0.45">
      <c r="A3" s="60"/>
      <c r="B3" s="60"/>
      <c r="D3" s="54"/>
      <c r="E3" s="54"/>
      <c r="G3" s="59"/>
      <c r="H3" s="59"/>
    </row>
    <row r="4" spans="1:8" ht="12.6" thickBot="1" x14ac:dyDescent="0.45">
      <c r="A4" s="53"/>
      <c r="B4" s="53"/>
      <c r="D4" s="54"/>
      <c r="E4" s="54"/>
      <c r="G4" s="54"/>
      <c r="H4" s="54"/>
    </row>
    <row r="5" spans="1:8" ht="12.6" thickBot="1" x14ac:dyDescent="0.45">
      <c r="A5" s="53"/>
      <c r="B5" s="53"/>
      <c r="D5" s="54"/>
      <c r="E5" s="54"/>
      <c r="G5" s="54"/>
      <c r="H5" s="54"/>
    </row>
    <row r="6" spans="1:8" ht="12.6" thickBot="1" x14ac:dyDescent="0.45">
      <c r="A6" s="54"/>
      <c r="B6" s="54"/>
      <c r="D6" s="60"/>
      <c r="E6" s="60"/>
      <c r="G6" s="54"/>
      <c r="H6" s="54"/>
    </row>
    <row r="7" spans="1:8" ht="12.6" thickBot="1" x14ac:dyDescent="0.45">
      <c r="A7" s="54"/>
      <c r="B7" s="54"/>
      <c r="D7" s="60"/>
      <c r="E7" s="60"/>
      <c r="G7" s="54"/>
      <c r="H7" s="54"/>
    </row>
    <row r="8" spans="1:8" ht="12.6" thickBot="1" x14ac:dyDescent="0.45">
      <c r="A8" s="54"/>
      <c r="B8" s="54"/>
      <c r="D8" s="54"/>
      <c r="E8" s="54"/>
      <c r="G8" s="54"/>
      <c r="H8" s="54"/>
    </row>
    <row r="9" spans="1:8" ht="12.6" thickBot="1" x14ac:dyDescent="0.45">
      <c r="A9" s="60"/>
      <c r="B9" s="60"/>
      <c r="D9" s="54"/>
      <c r="E9" s="54"/>
      <c r="G9" s="60"/>
      <c r="H9" s="54"/>
    </row>
    <row r="10" spans="1:8" ht="12.6" thickBot="1" x14ac:dyDescent="0.45">
      <c r="A10" s="60"/>
      <c r="B10" s="60"/>
      <c r="D10" s="53"/>
      <c r="E10" s="53"/>
      <c r="G10" s="54"/>
      <c r="H10" s="54"/>
    </row>
    <row r="11" spans="1:8" ht="12.6" thickBot="1" x14ac:dyDescent="0.45">
      <c r="A11" s="54"/>
      <c r="B11" s="54"/>
      <c r="D11" s="60"/>
      <c r="E11" s="60"/>
      <c r="G11" s="54"/>
      <c r="H11" s="54"/>
    </row>
    <row r="12" spans="1:8" ht="12.6" thickBot="1" x14ac:dyDescent="0.45">
      <c r="A12" s="60"/>
      <c r="B12" s="60"/>
      <c r="D12" s="60"/>
      <c r="E12" s="60"/>
      <c r="G12" s="54"/>
      <c r="H12" s="54"/>
    </row>
    <row r="13" spans="1:8" ht="12.6" thickBot="1" x14ac:dyDescent="0.45">
      <c r="A13" s="54"/>
      <c r="B13" s="54"/>
      <c r="D13" s="60"/>
      <c r="E13" s="60"/>
      <c r="G13" s="54"/>
      <c r="H13" s="54"/>
    </row>
    <row r="14" spans="1:8" ht="12.6" thickBot="1" x14ac:dyDescent="0.45">
      <c r="A14" s="54"/>
      <c r="B14" s="54"/>
      <c r="D14" s="54"/>
      <c r="E14" s="54"/>
      <c r="G14" s="54"/>
      <c r="H14" s="54"/>
    </row>
    <row r="15" spans="1:8" ht="12.6" thickBot="1" x14ac:dyDescent="0.45">
      <c r="A15" s="33"/>
      <c r="B15" s="25"/>
      <c r="D15" s="60"/>
      <c r="E15" s="60"/>
      <c r="G15" s="60"/>
      <c r="H15" s="60"/>
    </row>
    <row r="16" spans="1:8" ht="12.6" thickBot="1" x14ac:dyDescent="0.45">
      <c r="A16" s="33"/>
      <c r="B16" s="25"/>
      <c r="D16" s="54"/>
      <c r="E16" s="54"/>
      <c r="G16" s="54"/>
      <c r="H16" s="54"/>
    </row>
    <row r="17" spans="4:8" ht="12.6" thickBot="1" x14ac:dyDescent="0.45">
      <c r="D17" s="54"/>
      <c r="E17" s="54"/>
      <c r="G17" s="54"/>
      <c r="H17" s="54"/>
    </row>
    <row r="18" spans="4:8" ht="12.6" thickBot="1" x14ac:dyDescent="0.45">
      <c r="D18" s="54"/>
      <c r="E18" s="54"/>
      <c r="G18" s="60"/>
      <c r="H18" s="60"/>
    </row>
    <row r="19" spans="4:8" ht="12.6" thickBot="1" x14ac:dyDescent="0.45">
      <c r="D19" s="54"/>
      <c r="E19" s="54"/>
      <c r="G19" s="60"/>
      <c r="H19" s="60"/>
    </row>
    <row r="20" spans="4:8" ht="12.6" thickBot="1" x14ac:dyDescent="0.45">
      <c r="D20" s="33"/>
      <c r="E20" s="25"/>
      <c r="G20" s="33"/>
      <c r="H20" s="25"/>
    </row>
    <row r="21" spans="4:8" ht="12.6" thickBot="1" x14ac:dyDescent="0.45">
      <c r="D21" s="33"/>
      <c r="E21" s="25"/>
      <c r="G21" s="33"/>
      <c r="H21" s="25"/>
    </row>
    <row r="22" spans="4:8" ht="12.6" thickBot="1" x14ac:dyDescent="0.45">
      <c r="D22" s="33"/>
      <c r="E22" s="25"/>
      <c r="G22" s="33"/>
      <c r="H22" s="25"/>
    </row>
    <row r="23" spans="4:8" ht="12.6" thickBot="1" x14ac:dyDescent="0.45">
      <c r="D23" s="33"/>
      <c r="E23" s="25"/>
      <c r="G23" s="33"/>
      <c r="H23" s="25"/>
    </row>
    <row r="24" spans="4:8" ht="12.6" thickBot="1" x14ac:dyDescent="0.45">
      <c r="D24" s="33"/>
      <c r="E24" s="25"/>
      <c r="G24" s="33"/>
      <c r="H24" s="25"/>
    </row>
    <row r="25" spans="4:8" ht="12.6" thickBot="1" x14ac:dyDescent="0.45">
      <c r="D25" s="33"/>
      <c r="E25" s="25"/>
      <c r="G25" s="33"/>
      <c r="H25" s="25"/>
    </row>
    <row r="26" spans="4:8" ht="12.6" thickBot="1" x14ac:dyDescent="0.45">
      <c r="D26" s="33"/>
      <c r="E26" s="25"/>
      <c r="G26" s="33"/>
      <c r="H26" s="25"/>
    </row>
    <row r="27" spans="4:8" ht="12.6" thickBot="1" x14ac:dyDescent="0.45">
      <c r="G27" s="33"/>
      <c r="H27" s="25"/>
    </row>
    <row r="28" spans="4:8" ht="12.6" thickBot="1" x14ac:dyDescent="0.45">
      <c r="G28" s="33"/>
      <c r="H28" s="25"/>
    </row>
    <row r="44" spans="1:8" ht="12.6" thickBot="1" x14ac:dyDescent="0.45">
      <c r="G44" s="62"/>
    </row>
    <row r="45" spans="1:8" ht="12.6" thickBot="1" x14ac:dyDescent="0.45">
      <c r="A45" s="60"/>
      <c r="B45" s="60"/>
      <c r="D45" s="60"/>
      <c r="E45" s="60"/>
      <c r="G45" s="60"/>
      <c r="H45" s="60"/>
    </row>
    <row r="46" spans="1:8" ht="12.6" thickBot="1" x14ac:dyDescent="0.45">
      <c r="A46" s="54"/>
      <c r="B46" s="54"/>
      <c r="D46" s="54"/>
      <c r="E46" s="54"/>
      <c r="G46" s="60"/>
      <c r="H46" s="60"/>
    </row>
    <row r="47" spans="1:8" ht="12.6" thickBot="1" x14ac:dyDescent="0.45">
      <c r="A47" s="60"/>
      <c r="B47" s="60"/>
      <c r="D47" s="60"/>
      <c r="E47" s="60"/>
      <c r="G47" s="54"/>
      <c r="H47" s="54"/>
    </row>
    <row r="48" spans="1:8" ht="12.6" thickBot="1" x14ac:dyDescent="0.45">
      <c r="A48" s="54"/>
      <c r="B48" s="54"/>
      <c r="D48" s="60"/>
      <c r="E48" s="60"/>
      <c r="G48" s="60"/>
      <c r="H48" s="60"/>
    </row>
    <row r="49" spans="1:8" ht="12.6" thickBot="1" x14ac:dyDescent="0.45">
      <c r="A49" s="60"/>
      <c r="B49" s="60"/>
      <c r="D49" s="53"/>
      <c r="E49" s="53"/>
      <c r="G49" s="60"/>
      <c r="H49" s="60"/>
    </row>
    <row r="50" spans="1:8" ht="12.6" thickBot="1" x14ac:dyDescent="0.45">
      <c r="A50" s="60"/>
      <c r="B50" s="60"/>
      <c r="D50" s="54"/>
      <c r="E50" s="54"/>
      <c r="G50" s="53"/>
      <c r="H50" s="53"/>
    </row>
    <row r="51" spans="1:8" ht="12.6" thickBot="1" x14ac:dyDescent="0.45">
      <c r="A51" s="54"/>
      <c r="B51" s="54"/>
      <c r="D51" s="54"/>
      <c r="E51" s="54"/>
      <c r="G51" s="54"/>
      <c r="H51" s="54"/>
    </row>
    <row r="52" spans="1:8" ht="12.6" thickBot="1" x14ac:dyDescent="0.45">
      <c r="A52" s="60"/>
      <c r="B52" s="60"/>
      <c r="D52" s="54"/>
      <c r="E52" s="54"/>
      <c r="G52" s="60"/>
      <c r="H52" s="60"/>
    </row>
    <row r="53" spans="1:8" ht="12.6" thickBot="1" x14ac:dyDescent="0.45">
      <c r="A53" s="54"/>
      <c r="B53" s="54"/>
      <c r="D53" s="54"/>
      <c r="E53" s="54"/>
      <c r="G53" s="60"/>
      <c r="H53" s="60"/>
    </row>
    <row r="54" spans="1:8" ht="12.6" thickBot="1" x14ac:dyDescent="0.45">
      <c r="A54" s="60"/>
      <c r="B54" s="60"/>
      <c r="D54" s="54"/>
      <c r="E54" s="54"/>
      <c r="G54" s="33"/>
      <c r="H54" s="25"/>
    </row>
    <row r="55" spans="1:8" ht="12.6" thickBot="1" x14ac:dyDescent="0.45">
      <c r="A55" s="54"/>
      <c r="B55" s="54"/>
      <c r="D55" s="54"/>
      <c r="E55" s="54"/>
      <c r="G55" s="33"/>
      <c r="H55" s="25"/>
    </row>
    <row r="56" spans="1:8" ht="12.6" thickBot="1" x14ac:dyDescent="0.45">
      <c r="A56" s="60"/>
      <c r="B56" s="60"/>
      <c r="D56" s="54"/>
      <c r="E56" s="54"/>
    </row>
    <row r="57" spans="1:8" ht="12.6" thickBot="1" x14ac:dyDescent="0.45">
      <c r="A57" s="33"/>
      <c r="B57" s="25"/>
      <c r="D57" s="54"/>
      <c r="E57" s="54"/>
    </row>
    <row r="58" spans="1:8" ht="12.6" thickBot="1" x14ac:dyDescent="0.45">
      <c r="A58" s="33"/>
      <c r="B58" s="25"/>
      <c r="D58" s="33"/>
      <c r="E58" s="25"/>
    </row>
    <row r="59" spans="1:8" ht="12.6" thickBot="1" x14ac:dyDescent="0.45">
      <c r="A59" s="33"/>
      <c r="B59" s="25"/>
      <c r="D59" s="33"/>
      <c r="E59" s="25"/>
    </row>
    <row r="60" spans="1:8" ht="12.6" thickBot="1" x14ac:dyDescent="0.45">
      <c r="A60" s="33"/>
      <c r="B60" s="25"/>
    </row>
    <row r="65" spans="1:8" ht="12.6" thickBot="1" x14ac:dyDescent="0.45">
      <c r="A65" s="62"/>
    </row>
    <row r="66" spans="1:8" ht="12.6" thickBot="1" x14ac:dyDescent="0.45">
      <c r="A66" s="54"/>
      <c r="B66" s="54"/>
      <c r="D66" s="54"/>
      <c r="E66" s="54"/>
      <c r="G66" s="54"/>
      <c r="H66" s="54"/>
    </row>
    <row r="67" spans="1:8" ht="12.6" thickBot="1" x14ac:dyDescent="0.45">
      <c r="A67" s="60"/>
      <c r="B67" s="60"/>
      <c r="D67" s="60"/>
      <c r="E67" s="60"/>
      <c r="G67" s="54"/>
      <c r="H67" s="54"/>
    </row>
    <row r="68" spans="1:8" ht="12.6" thickBot="1" x14ac:dyDescent="0.45">
      <c r="A68" s="54"/>
      <c r="B68" s="54"/>
      <c r="D68" s="53"/>
      <c r="E68" s="53"/>
      <c r="G68" s="59"/>
      <c r="H68" s="59"/>
    </row>
    <row r="69" spans="1:8" ht="12.6" thickBot="1" x14ac:dyDescent="0.45">
      <c r="A69" s="53"/>
      <c r="B69" s="53"/>
      <c r="D69" s="54"/>
      <c r="E69" s="54"/>
      <c r="G69" s="54"/>
      <c r="H69" s="54"/>
    </row>
    <row r="70" spans="1:8" ht="12.6" thickBot="1" x14ac:dyDescent="0.45">
      <c r="A70" s="60"/>
      <c r="B70" s="60"/>
      <c r="D70" s="54"/>
      <c r="E70" s="54"/>
      <c r="G70" s="54"/>
      <c r="H70" s="54"/>
    </row>
    <row r="71" spans="1:8" ht="12.6" thickBot="1" x14ac:dyDescent="0.45">
      <c r="A71" s="60"/>
      <c r="B71" s="60"/>
      <c r="D71" s="53"/>
      <c r="E71" s="53"/>
      <c r="G71" s="60"/>
      <c r="H71" s="60"/>
    </row>
    <row r="72" spans="1:8" ht="12.6" thickBot="1" x14ac:dyDescent="0.45">
      <c r="A72" s="54"/>
      <c r="B72" s="54"/>
      <c r="D72" s="33"/>
      <c r="E72" s="25"/>
      <c r="G72" s="33"/>
      <c r="H72" s="25"/>
    </row>
    <row r="73" spans="1:8" ht="12.6" thickBot="1" x14ac:dyDescent="0.45">
      <c r="A73" s="53"/>
      <c r="B73" s="53"/>
      <c r="D73" s="33"/>
      <c r="E73" s="25"/>
      <c r="G73" s="33"/>
      <c r="H73" s="25"/>
    </row>
    <row r="74" spans="1:8" ht="12.6" thickBot="1" x14ac:dyDescent="0.45">
      <c r="A74" s="60"/>
      <c r="B74" s="60"/>
      <c r="D74" s="33"/>
      <c r="E74" s="25"/>
      <c r="G74" s="33"/>
      <c r="H74" s="25"/>
    </row>
    <row r="75" spans="1:8" ht="12.6" thickBot="1" x14ac:dyDescent="0.45">
      <c r="A75" s="59"/>
      <c r="B75" s="59"/>
      <c r="D75" s="33"/>
      <c r="E75" s="25"/>
      <c r="G75" s="33"/>
      <c r="H75" s="25"/>
    </row>
    <row r="76" spans="1:8" ht="12.6" thickBot="1" x14ac:dyDescent="0.45">
      <c r="A76" s="33"/>
      <c r="B76" s="25"/>
      <c r="D76" s="33"/>
      <c r="E76" s="25"/>
      <c r="G76" s="33"/>
      <c r="H76" s="25"/>
    </row>
    <row r="77" spans="1:8" ht="12.6" thickBot="1" x14ac:dyDescent="0.45">
      <c r="A77" s="33"/>
      <c r="B77" s="25"/>
      <c r="D77" s="33"/>
      <c r="E77" s="25"/>
      <c r="G77" s="33"/>
      <c r="H77" s="25"/>
    </row>
    <row r="78" spans="1:8" ht="12.6" thickBot="1" x14ac:dyDescent="0.45">
      <c r="D78" s="33"/>
      <c r="E78" s="25"/>
      <c r="G78" s="33"/>
      <c r="H78" s="25"/>
    </row>
    <row r="79" spans="1:8" ht="12.6" thickBot="1" x14ac:dyDescent="0.45">
      <c r="G79" s="33"/>
      <c r="H79" s="25"/>
    </row>
    <row r="80" spans="1:8" ht="12.6" thickBot="1" x14ac:dyDescent="0.45">
      <c r="G80" s="33"/>
      <c r="H80" s="25"/>
    </row>
    <row r="81" spans="1:8" ht="12.6" thickBot="1" x14ac:dyDescent="0.45">
      <c r="G81" s="33"/>
      <c r="H81" s="25"/>
    </row>
    <row r="82" spans="1:8" ht="12.6" thickBot="1" x14ac:dyDescent="0.45"/>
    <row r="83" spans="1:8" ht="12.6" thickBot="1" x14ac:dyDescent="0.45">
      <c r="A83" s="54"/>
      <c r="B83" s="54"/>
    </row>
    <row r="84" spans="1:8" ht="12.6" thickBot="1" x14ac:dyDescent="0.45">
      <c r="A84" s="54"/>
      <c r="B84" s="60"/>
    </row>
    <row r="85" spans="1:8" ht="12.6" thickBot="1" x14ac:dyDescent="0.45">
      <c r="A85" s="60"/>
      <c r="B85" s="60"/>
    </row>
    <row r="86" spans="1:8" ht="12.6" thickBot="1" x14ac:dyDescent="0.45">
      <c r="A86" s="60"/>
      <c r="B86" s="60"/>
    </row>
    <row r="87" spans="1:8" ht="12.6" thickBot="1" x14ac:dyDescent="0.45">
      <c r="A87" s="60"/>
      <c r="B87" s="60"/>
    </row>
    <row r="88" spans="1:8" ht="12.6" thickBot="1" x14ac:dyDescent="0.45">
      <c r="A88" s="60"/>
      <c r="B88" s="60"/>
    </row>
    <row r="89" spans="1:8" ht="12.6" thickBot="1" x14ac:dyDescent="0.45">
      <c r="A89" s="60"/>
      <c r="B89" s="60"/>
    </row>
    <row r="90" spans="1:8" ht="12.6" thickBot="1" x14ac:dyDescent="0.45">
      <c r="A90" s="54"/>
      <c r="B90" s="54"/>
    </row>
    <row r="91" spans="1:8" ht="12.6" thickBot="1" x14ac:dyDescent="0.45">
      <c r="A91" s="60"/>
      <c r="B91" s="60"/>
    </row>
    <row r="92" spans="1:8" ht="12.6" thickBot="1" x14ac:dyDescent="0.45">
      <c r="A92" s="54"/>
      <c r="B92" s="54"/>
    </row>
    <row r="93" spans="1:8" ht="12.6" thickBot="1" x14ac:dyDescent="0.45">
      <c r="A93" s="54"/>
      <c r="B93" s="54"/>
    </row>
    <row r="94" spans="1:8" ht="12.6" thickBot="1" x14ac:dyDescent="0.45">
      <c r="A94" s="60"/>
      <c r="B94" s="60"/>
    </row>
    <row r="95" spans="1:8" ht="12.6" thickBot="1" x14ac:dyDescent="0.45">
      <c r="A95" s="54"/>
      <c r="B95" s="54"/>
    </row>
    <row r="96" spans="1:8" ht="12.6" thickBot="1" x14ac:dyDescent="0.45">
      <c r="A96" s="60"/>
      <c r="B96" s="60"/>
    </row>
    <row r="97" spans="1:2" ht="12.6" thickBot="1" x14ac:dyDescent="0.45">
      <c r="A97" s="60"/>
      <c r="B97" s="60"/>
    </row>
    <row r="98" spans="1:2" ht="12.6" thickBot="1" x14ac:dyDescent="0.45">
      <c r="A98" s="54"/>
      <c r="B98" s="54"/>
    </row>
    <row r="99" spans="1:2" ht="12.6" thickBot="1" x14ac:dyDescent="0.45">
      <c r="A99" s="54"/>
      <c r="B99" s="54"/>
    </row>
    <row r="100" spans="1:2" ht="12.6" thickBot="1" x14ac:dyDescent="0.45">
      <c r="A100" s="49"/>
      <c r="B100" s="49"/>
    </row>
    <row r="101" spans="1:2" ht="12.6" thickBot="1" x14ac:dyDescent="0.45">
      <c r="A101" s="60"/>
      <c r="B101" s="60"/>
    </row>
    <row r="102" spans="1:2" ht="12.6" thickBot="1" x14ac:dyDescent="0.45">
      <c r="A102" s="33"/>
      <c r="B102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97"/>
  <sheetViews>
    <sheetView workbookViewId="0">
      <selection activeCell="L70" sqref="L70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60"/>
      <c r="B2" s="60"/>
      <c r="D2" s="54"/>
      <c r="E2" s="54"/>
      <c r="G2" s="60"/>
      <c r="H2" s="60"/>
    </row>
    <row r="3" spans="1:8" ht="12.6" thickBot="1" x14ac:dyDescent="0.45">
      <c r="A3" s="60"/>
      <c r="B3" s="60"/>
      <c r="D3" s="60"/>
      <c r="E3" s="60"/>
      <c r="G3" s="60"/>
      <c r="H3" s="60"/>
    </row>
    <row r="4" spans="1:8" ht="12.6" thickBot="1" x14ac:dyDescent="0.45">
      <c r="A4" s="60"/>
      <c r="B4" s="60"/>
      <c r="D4" s="60"/>
      <c r="E4" s="60"/>
      <c r="G4" s="54"/>
      <c r="H4" s="54"/>
    </row>
    <row r="5" spans="1:8" ht="12.6" thickBot="1" x14ac:dyDescent="0.45">
      <c r="A5" s="60"/>
      <c r="B5" s="60"/>
      <c r="D5" s="54"/>
      <c r="E5" s="54"/>
      <c r="G5" s="60"/>
      <c r="H5" s="60"/>
    </row>
    <row r="6" spans="1:8" ht="12.6" thickBot="1" x14ac:dyDescent="0.45">
      <c r="A6" s="59"/>
      <c r="B6" s="59"/>
      <c r="D6" s="54"/>
      <c r="E6" s="54"/>
      <c r="G6" s="60"/>
      <c r="H6" s="60"/>
    </row>
    <row r="7" spans="1:8" ht="12.6" thickBot="1" x14ac:dyDescent="0.45">
      <c r="A7" s="54"/>
      <c r="B7" s="54"/>
      <c r="D7" s="60"/>
      <c r="E7" s="60"/>
      <c r="G7" s="54"/>
      <c r="H7" s="54"/>
    </row>
    <row r="8" spans="1:8" ht="12.6" thickBot="1" x14ac:dyDescent="0.45">
      <c r="A8" s="53"/>
      <c r="B8" s="53"/>
      <c r="D8" s="54"/>
      <c r="E8" s="54"/>
      <c r="G8" s="60"/>
      <c r="H8" s="60"/>
    </row>
    <row r="9" spans="1:8" ht="12.6" thickBot="1" x14ac:dyDescent="0.45">
      <c r="A9" s="54"/>
      <c r="B9" s="54"/>
      <c r="D9" s="60"/>
      <c r="E9" s="60"/>
      <c r="G9" s="54"/>
      <c r="H9" s="54"/>
    </row>
    <row r="10" spans="1:8" ht="12.6" thickBot="1" x14ac:dyDescent="0.45">
      <c r="A10" s="54"/>
      <c r="B10" s="54"/>
      <c r="D10" s="54"/>
      <c r="E10" s="54"/>
      <c r="G10" s="53"/>
      <c r="H10" s="53"/>
    </row>
    <row r="11" spans="1:8" ht="12.6" thickBot="1" x14ac:dyDescent="0.45">
      <c r="A11" s="60"/>
      <c r="B11" s="60"/>
      <c r="D11" s="60"/>
      <c r="E11" s="60"/>
      <c r="G11" s="60"/>
      <c r="H11" s="60"/>
    </row>
    <row r="12" spans="1:8" ht="12.6" thickBot="1" x14ac:dyDescent="0.45">
      <c r="D12" s="60"/>
      <c r="E12" s="54"/>
      <c r="G12" s="54"/>
      <c r="H12" s="54"/>
    </row>
    <row r="13" spans="1:8" ht="12.6" thickBot="1" x14ac:dyDescent="0.45">
      <c r="D13" s="60"/>
      <c r="E13" s="60"/>
      <c r="G13" s="54"/>
      <c r="H13" s="54"/>
    </row>
    <row r="14" spans="1:8" ht="12.6" thickBot="1" x14ac:dyDescent="0.45">
      <c r="D14" s="54"/>
      <c r="E14" s="54"/>
      <c r="G14" s="33"/>
      <c r="H14" s="25"/>
    </row>
    <row r="15" spans="1:8" ht="12.6" thickBot="1" x14ac:dyDescent="0.45">
      <c r="D15" s="60"/>
      <c r="E15" s="60"/>
      <c r="G15" s="33"/>
      <c r="H15" s="25"/>
    </row>
    <row r="16" spans="1:8" ht="12.6" thickBot="1" x14ac:dyDescent="0.45">
      <c r="D16" s="60"/>
      <c r="E16" s="60"/>
      <c r="G16" s="33"/>
      <c r="H16" s="25"/>
    </row>
    <row r="17" spans="4:8" ht="12.6" thickBot="1" x14ac:dyDescent="0.45">
      <c r="D17" s="60"/>
      <c r="E17" s="60"/>
      <c r="G17" s="33"/>
      <c r="H17" s="25"/>
    </row>
    <row r="18" spans="4:8" ht="12.6" thickBot="1" x14ac:dyDescent="0.45">
      <c r="D18" s="54"/>
      <c r="E18" s="54"/>
      <c r="G18" s="33"/>
      <c r="H18" s="25"/>
    </row>
    <row r="19" spans="4:8" ht="12.6" thickBot="1" x14ac:dyDescent="0.45">
      <c r="D19" s="60"/>
      <c r="E19" s="60"/>
      <c r="G19" s="33"/>
      <c r="H19" s="25"/>
    </row>
    <row r="20" spans="4:8" ht="12.6" thickBot="1" x14ac:dyDescent="0.45">
      <c r="D20" s="60"/>
      <c r="E20" s="60"/>
      <c r="G20" s="33"/>
      <c r="H20" s="25"/>
    </row>
    <row r="21" spans="4:8" ht="12.6" thickBot="1" x14ac:dyDescent="0.45">
      <c r="D21" s="33"/>
      <c r="E21" s="25"/>
      <c r="G21" s="33"/>
      <c r="H21" s="25"/>
    </row>
    <row r="22" spans="4:8" ht="12.6" thickBot="1" x14ac:dyDescent="0.45">
      <c r="D22" s="33"/>
      <c r="E22" s="25"/>
    </row>
    <row r="23" spans="4:8" ht="12.6" thickBot="1" x14ac:dyDescent="0.45">
      <c r="D23" s="33"/>
      <c r="E23" s="25"/>
    </row>
    <row r="24" spans="4:8" ht="12.6" thickBot="1" x14ac:dyDescent="0.45">
      <c r="D24" s="33"/>
      <c r="E24" s="25"/>
    </row>
    <row r="25" spans="4:8" ht="12.6" thickBot="1" x14ac:dyDescent="0.45">
      <c r="D25" s="33"/>
      <c r="E25" s="25"/>
    </row>
    <row r="26" spans="4:8" ht="12.6" thickBot="1" x14ac:dyDescent="0.45">
      <c r="D26" s="33"/>
      <c r="E26" s="25"/>
    </row>
    <row r="45" spans="1:8" ht="12.6" thickBot="1" x14ac:dyDescent="0.45">
      <c r="D45" s="62"/>
    </row>
    <row r="46" spans="1:8" ht="12.6" thickBot="1" x14ac:dyDescent="0.45">
      <c r="A46" s="54"/>
      <c r="B46" s="54"/>
      <c r="D46" s="60"/>
      <c r="E46" s="60"/>
      <c r="G46" s="54"/>
      <c r="H46" s="54"/>
    </row>
    <row r="47" spans="1:8" ht="12.6" thickBot="1" x14ac:dyDescent="0.45">
      <c r="A47" s="54"/>
      <c r="B47" s="54"/>
      <c r="D47" s="54"/>
      <c r="E47" s="54"/>
      <c r="G47" s="60"/>
      <c r="H47" s="60"/>
    </row>
    <row r="48" spans="1:8" ht="12.6" thickBot="1" x14ac:dyDescent="0.45">
      <c r="A48" s="54"/>
      <c r="B48" s="54"/>
      <c r="D48" s="60"/>
      <c r="E48" s="60"/>
      <c r="G48" s="53"/>
      <c r="H48" s="53"/>
    </row>
    <row r="49" spans="1:8" ht="12.6" thickBot="1" x14ac:dyDescent="0.45">
      <c r="A49" s="54"/>
      <c r="B49" s="54"/>
      <c r="D49" s="60"/>
      <c r="E49" s="60"/>
      <c r="G49" s="54"/>
      <c r="H49" s="54"/>
    </row>
    <row r="50" spans="1:8" ht="12.6" thickBot="1" x14ac:dyDescent="0.45">
      <c r="A50" s="60"/>
      <c r="B50" s="60"/>
      <c r="D50" s="53"/>
      <c r="E50" s="53"/>
      <c r="G50" s="60"/>
      <c r="H50" s="60"/>
    </row>
    <row r="51" spans="1:8" ht="12.6" thickBot="1" x14ac:dyDescent="0.45">
      <c r="A51" s="54"/>
      <c r="B51" s="54"/>
      <c r="D51" s="54"/>
      <c r="E51" s="54"/>
      <c r="G51" s="54"/>
      <c r="H51" s="54"/>
    </row>
    <row r="52" spans="1:8" ht="12.6" thickBot="1" x14ac:dyDescent="0.45">
      <c r="A52" s="54"/>
      <c r="B52" s="54"/>
      <c r="D52" s="54"/>
      <c r="E52" s="54"/>
      <c r="G52" s="54"/>
      <c r="H52" s="54"/>
    </row>
    <row r="53" spans="1:8" ht="12.6" thickBot="1" x14ac:dyDescent="0.45">
      <c r="A53" s="49"/>
      <c r="B53" s="49"/>
      <c r="D53" s="54"/>
      <c r="E53" s="54"/>
      <c r="G53" s="60"/>
      <c r="H53" s="60"/>
    </row>
    <row r="54" spans="1:8" ht="12.6" thickBot="1" x14ac:dyDescent="0.45">
      <c r="A54" s="53"/>
      <c r="B54" s="53"/>
      <c r="D54" s="54"/>
      <c r="E54" s="54"/>
      <c r="G54" s="59"/>
      <c r="H54" s="59"/>
    </row>
    <row r="55" spans="1:8" ht="12.6" thickBot="1" x14ac:dyDescent="0.45">
      <c r="A55" s="60"/>
      <c r="B55" s="60"/>
      <c r="D55" s="54"/>
      <c r="E55" s="54"/>
      <c r="G55" s="54"/>
      <c r="H55" s="54"/>
    </row>
    <row r="56" spans="1:8" ht="12.6" thickBot="1" x14ac:dyDescent="0.45">
      <c r="A56" s="54"/>
      <c r="B56" s="54"/>
      <c r="D56" s="54"/>
      <c r="E56" s="54"/>
      <c r="G56" s="33"/>
      <c r="H56" s="25"/>
    </row>
    <row r="57" spans="1:8" ht="12.6" thickBot="1" x14ac:dyDescent="0.45">
      <c r="A57" s="54"/>
      <c r="B57" s="54"/>
      <c r="D57" s="54"/>
      <c r="E57" s="54"/>
      <c r="G57" s="33"/>
      <c r="H57" s="25"/>
    </row>
    <row r="58" spans="1:8" ht="12.6" thickBot="1" x14ac:dyDescent="0.45">
      <c r="A58" s="33"/>
      <c r="B58" s="25"/>
      <c r="D58" s="54"/>
      <c r="E58" s="54"/>
      <c r="G58" s="33"/>
      <c r="H58" s="25"/>
    </row>
    <row r="59" spans="1:8" ht="12.6" thickBot="1" x14ac:dyDescent="0.45">
      <c r="A59" s="33"/>
      <c r="B59" s="25"/>
      <c r="D59" s="33"/>
      <c r="E59" s="25"/>
    </row>
    <row r="60" spans="1:8" ht="12.6" thickBot="1" x14ac:dyDescent="0.45">
      <c r="A60" s="33"/>
      <c r="B60" s="25"/>
      <c r="D60" s="33"/>
      <c r="E60" s="25"/>
    </row>
    <row r="61" spans="1:8" ht="12.6" thickBot="1" x14ac:dyDescent="0.45">
      <c r="A61" s="33"/>
      <c r="B61" s="25"/>
    </row>
    <row r="64" spans="1:8" ht="12.6" thickBot="1" x14ac:dyDescent="0.45">
      <c r="A64" s="62"/>
    </row>
    <row r="65" spans="1:8" ht="12.6" thickBot="1" x14ac:dyDescent="0.45">
      <c r="A65" s="54"/>
      <c r="B65" s="54"/>
      <c r="D65" s="59"/>
      <c r="E65" s="59"/>
      <c r="G65" s="60"/>
      <c r="H65" s="60"/>
    </row>
    <row r="66" spans="1:8" ht="12.6" thickBot="1" x14ac:dyDescent="0.45">
      <c r="A66" s="60"/>
      <c r="B66" s="60"/>
      <c r="D66" s="54"/>
      <c r="E66" s="54"/>
      <c r="G66" s="53"/>
      <c r="H66" s="53"/>
    </row>
    <row r="67" spans="1:8" ht="12.6" thickBot="1" x14ac:dyDescent="0.45">
      <c r="A67" s="54"/>
      <c r="B67" s="54"/>
      <c r="D67" s="54"/>
      <c r="E67" s="54"/>
      <c r="G67" s="54"/>
      <c r="H67" s="54"/>
    </row>
    <row r="68" spans="1:8" ht="12.6" thickBot="1" x14ac:dyDescent="0.45">
      <c r="A68" s="53"/>
      <c r="B68" s="53"/>
      <c r="D68" s="33"/>
      <c r="E68" s="25"/>
      <c r="G68" s="54"/>
      <c r="H68" s="54"/>
    </row>
    <row r="69" spans="1:8" ht="12.6" thickBot="1" x14ac:dyDescent="0.45">
      <c r="A69" s="54"/>
      <c r="B69" s="54"/>
      <c r="D69" s="33"/>
      <c r="E69" s="25"/>
      <c r="G69" s="60"/>
      <c r="H69" s="60"/>
    </row>
    <row r="70" spans="1:8" ht="12.6" thickBot="1" x14ac:dyDescent="0.45">
      <c r="A70" s="60"/>
      <c r="B70" s="60"/>
      <c r="D70" s="33"/>
      <c r="E70" s="25"/>
      <c r="G70" s="60"/>
      <c r="H70" s="60"/>
    </row>
    <row r="71" spans="1:8" ht="12.6" thickBot="1" x14ac:dyDescent="0.45">
      <c r="A71" s="54"/>
      <c r="B71" s="54"/>
      <c r="D71" s="33"/>
      <c r="E71" s="25"/>
      <c r="G71" s="54"/>
      <c r="H71" s="54"/>
    </row>
    <row r="72" spans="1:8" ht="12.6" thickBot="1" x14ac:dyDescent="0.45">
      <c r="A72" s="54"/>
      <c r="B72" s="54"/>
      <c r="D72" s="33"/>
      <c r="E72" s="25"/>
      <c r="G72" s="54"/>
      <c r="H72" s="54"/>
    </row>
    <row r="73" spans="1:8" ht="12.6" thickBot="1" x14ac:dyDescent="0.45">
      <c r="A73" s="54"/>
      <c r="B73" s="54"/>
      <c r="D73" s="33"/>
      <c r="E73" s="25"/>
      <c r="G73" s="60"/>
      <c r="H73" s="60"/>
    </row>
    <row r="74" spans="1:8" ht="12.6" thickBot="1" x14ac:dyDescent="0.45">
      <c r="A74" s="33"/>
      <c r="B74" s="25"/>
      <c r="D74" s="33"/>
      <c r="E74" s="25"/>
      <c r="G74" s="54"/>
      <c r="H74" s="54"/>
    </row>
    <row r="75" spans="1:8" ht="12.6" thickBot="1" x14ac:dyDescent="0.45">
      <c r="D75" s="33"/>
      <c r="E75" s="25"/>
      <c r="G75" s="60"/>
      <c r="H75" s="60"/>
    </row>
    <row r="76" spans="1:8" ht="12.6" thickBot="1" x14ac:dyDescent="0.45">
      <c r="D76" s="33"/>
      <c r="E76" s="25"/>
      <c r="G76" s="54"/>
      <c r="H76" s="54"/>
    </row>
    <row r="77" spans="1:8" ht="12.6" thickBot="1" x14ac:dyDescent="0.45">
      <c r="D77" s="33"/>
      <c r="E77" s="25"/>
      <c r="G77" s="54"/>
      <c r="H77" s="54"/>
    </row>
    <row r="78" spans="1:8" ht="12.6" thickBot="1" x14ac:dyDescent="0.45">
      <c r="D78" s="33"/>
      <c r="E78" s="25"/>
      <c r="G78" s="60"/>
      <c r="H78" s="60"/>
    </row>
    <row r="79" spans="1:8" ht="12.6" thickBot="1" x14ac:dyDescent="0.45">
      <c r="D79" s="33"/>
      <c r="E79" s="25"/>
    </row>
    <row r="80" spans="1:8" ht="12.6" thickBot="1" x14ac:dyDescent="0.45">
      <c r="D80" s="33"/>
      <c r="E80" s="25"/>
    </row>
    <row r="81" spans="1:5" ht="12.6" thickBot="1" x14ac:dyDescent="0.45">
      <c r="D81" s="62"/>
    </row>
    <row r="82" spans="1:5" ht="12.6" thickBot="1" x14ac:dyDescent="0.45">
      <c r="A82" s="60"/>
      <c r="B82" s="60"/>
      <c r="D82" s="54"/>
      <c r="E82" s="54"/>
    </row>
    <row r="83" spans="1:5" ht="12.6" thickBot="1" x14ac:dyDescent="0.45">
      <c r="A83" s="54"/>
      <c r="B83" s="54"/>
      <c r="D83" s="54"/>
      <c r="E83" s="60"/>
    </row>
    <row r="84" spans="1:5" ht="12.6" thickBot="1" x14ac:dyDescent="0.45">
      <c r="A84" s="53"/>
      <c r="B84" s="53"/>
      <c r="D84" s="60"/>
      <c r="E84" s="60"/>
    </row>
    <row r="85" spans="1:5" ht="12.6" thickBot="1" x14ac:dyDescent="0.45">
      <c r="A85" s="60"/>
      <c r="B85" s="60"/>
      <c r="D85" s="60"/>
      <c r="E85" s="60"/>
    </row>
    <row r="86" spans="1:5" ht="12.6" thickBot="1" x14ac:dyDescent="0.45">
      <c r="A86" s="54"/>
      <c r="B86" s="54"/>
      <c r="D86" s="60"/>
      <c r="E86" s="60"/>
    </row>
    <row r="87" spans="1:5" ht="12.6" thickBot="1" x14ac:dyDescent="0.45">
      <c r="A87" s="54"/>
      <c r="B87" s="54"/>
      <c r="D87" s="60"/>
      <c r="E87" s="60"/>
    </row>
    <row r="88" spans="1:5" ht="12.6" thickBot="1" x14ac:dyDescent="0.45">
      <c r="A88" s="54"/>
      <c r="B88" s="54"/>
      <c r="D88" s="60"/>
      <c r="E88" s="60"/>
    </row>
    <row r="89" spans="1:5" ht="12.6" thickBot="1" x14ac:dyDescent="0.45">
      <c r="A89" s="54"/>
      <c r="B89" s="54"/>
      <c r="D89" s="60"/>
      <c r="E89" s="60"/>
    </row>
    <row r="90" spans="1:5" ht="12.6" thickBot="1" x14ac:dyDescent="0.45">
      <c r="A90" s="54"/>
      <c r="B90" s="54"/>
      <c r="D90" s="60"/>
      <c r="E90" s="60"/>
    </row>
    <row r="91" spans="1:5" ht="12.6" thickBot="1" x14ac:dyDescent="0.45">
      <c r="A91" s="33"/>
      <c r="B91" s="25"/>
      <c r="D91" s="60"/>
      <c r="E91" s="60"/>
    </row>
    <row r="92" spans="1:5" ht="12.6" thickBot="1" x14ac:dyDescent="0.45">
      <c r="A92" s="33"/>
      <c r="B92" s="25"/>
      <c r="D92" s="54"/>
      <c r="E92" s="54"/>
    </row>
    <row r="93" spans="1:5" ht="12.6" thickBot="1" x14ac:dyDescent="0.45">
      <c r="A93" s="33"/>
      <c r="B93" s="25"/>
      <c r="D93" s="53"/>
      <c r="E93" s="53"/>
    </row>
    <row r="94" spans="1:5" ht="12.6" thickBot="1" x14ac:dyDescent="0.45">
      <c r="A94" s="33"/>
      <c r="B94" s="25"/>
      <c r="D94" s="54"/>
      <c r="E94" s="54"/>
    </row>
    <row r="95" spans="1:5" ht="12.6" thickBot="1" x14ac:dyDescent="0.45">
      <c r="A95" s="33"/>
      <c r="B95" s="25"/>
      <c r="D95" s="33"/>
      <c r="E95" s="25"/>
    </row>
    <row r="96" spans="1:5" ht="12.6" thickBot="1" x14ac:dyDescent="0.45">
      <c r="A96" s="33"/>
      <c r="B96" s="25"/>
      <c r="D96" s="33"/>
      <c r="E96" s="25"/>
    </row>
    <row r="97" spans="1:2" ht="12.6" thickBot="1" x14ac:dyDescent="0.45">
      <c r="A97" s="33"/>
      <c r="B97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43"/>
  <sheetViews>
    <sheetView workbookViewId="0">
      <selection activeCell="E44" sqref="E44"/>
    </sheetView>
  </sheetViews>
  <sheetFormatPr defaultRowHeight="12.3" x14ac:dyDescent="0.4"/>
  <cols>
    <col min="1" max="1" width="17.71875" customWidth="1" collapsed="1"/>
    <col min="2" max="2" width="16.44140625" customWidth="1" collapsed="1"/>
    <col min="3" max="3" width="17.1640625" customWidth="1" collapsed="1"/>
    <col min="4" max="4" width="19.5546875" customWidth="1" collapsed="1"/>
    <col min="5" max="5" width="18.27734375" customWidth="1" collapsed="1"/>
    <col min="6" max="6" width="14.83203125" customWidth="1" collapsed="1"/>
    <col min="7" max="7" width="23.1640625" customWidth="1" collapsed="1"/>
    <col min="8" max="8" width="20.83203125" customWidth="1" collapsed="1"/>
    <col min="9" max="12" width="0" hidden="1" customWidth="1" collapsed="1"/>
    <col min="13" max="13" width="8.83203125" bestFit="1" customWidth="1" collapsed="1"/>
  </cols>
  <sheetData>
    <row r="1" spans="1:13" ht="12.6" thickBot="1" x14ac:dyDescent="0.45">
      <c r="A1" s="50"/>
      <c r="B1" s="50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13" ht="12.6" thickBot="1" x14ac:dyDescent="0.45">
      <c r="A2" s="50"/>
      <c r="B2" s="50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</row>
    <row r="3" spans="1:13" ht="12.6" thickBot="1" x14ac:dyDescent="0.45">
      <c r="A3" s="50"/>
      <c r="B3" s="50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</row>
    <row r="4" spans="1:13" ht="12.6" thickBot="1" x14ac:dyDescent="0.45">
      <c r="A4" s="50"/>
      <c r="B4" s="50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</row>
    <row r="5" spans="1:13" ht="12.6" thickBot="1" x14ac:dyDescent="0.45">
      <c r="A5" s="50"/>
      <c r="B5" s="50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</row>
    <row r="6" spans="1:13" ht="12.6" thickBot="1" x14ac:dyDescent="0.45">
      <c r="A6" s="50"/>
      <c r="B6" s="50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</row>
    <row r="7" spans="1:13" ht="12.6" thickBot="1" x14ac:dyDescent="0.45">
      <c r="A7" s="50"/>
      <c r="B7" s="50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</row>
    <row r="8" spans="1:13" ht="12.6" thickBot="1" x14ac:dyDescent="0.45">
      <c r="A8" s="50"/>
      <c r="B8" s="50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</row>
    <row r="9" spans="1:13" ht="12.6" thickBot="1" x14ac:dyDescent="0.45">
      <c r="A9" s="50"/>
      <c r="B9" s="50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</row>
    <row r="10" spans="1:13" ht="12.6" thickBot="1" x14ac:dyDescent="0.45">
      <c r="A10" s="50"/>
      <c r="B10" s="50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</row>
    <row r="11" spans="1:13" ht="12.6" thickBot="1" x14ac:dyDescent="0.45">
      <c r="A11" s="50"/>
      <c r="B11" s="50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</row>
    <row r="12" spans="1:13" ht="12.6" thickBot="1" x14ac:dyDescent="0.45">
      <c r="A12" s="50"/>
      <c r="B12" s="50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</row>
    <row r="13" spans="1:13" ht="12.6" thickBot="1" x14ac:dyDescent="0.45">
      <c r="A13" s="50"/>
      <c r="B13" s="50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</row>
    <row r="14" spans="1:13" ht="12.6" thickBot="1" x14ac:dyDescent="0.45">
      <c r="A14" s="50"/>
      <c r="B14" s="50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</row>
    <row r="15" spans="1:13" ht="12.6" thickBot="1" x14ac:dyDescent="0.45">
      <c r="A15" s="50"/>
      <c r="B15" s="50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</row>
    <row r="16" spans="1:13" ht="12.6" thickBot="1" x14ac:dyDescent="0.45">
      <c r="A16" s="50"/>
      <c r="B16" s="50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</row>
    <row r="17" spans="1:13" ht="12.6" thickBot="1" x14ac:dyDescent="0.45">
      <c r="A17" s="50"/>
      <c r="B17" s="50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</row>
    <row r="18" spans="1:13" ht="12.6" thickBot="1" x14ac:dyDescent="0.45">
      <c r="A18" s="50"/>
      <c r="B18" s="50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</row>
    <row r="19" spans="1:13" ht="12.6" thickBot="1" x14ac:dyDescent="0.45">
      <c r="A19" s="50"/>
      <c r="B19" s="50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</row>
    <row r="20" spans="1:13" ht="12.6" thickBot="1" x14ac:dyDescent="0.45">
      <c r="A20" s="50"/>
      <c r="B20" s="50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</row>
    <row r="21" spans="1:13" ht="12.6" thickBot="1" x14ac:dyDescent="0.45">
      <c r="A21" s="50"/>
      <c r="B21" s="50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</row>
    <row r="22" spans="1:13" ht="12.6" thickBot="1" x14ac:dyDescent="0.45">
      <c r="A22" s="50"/>
      <c r="B22" s="50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</row>
    <row r="23" spans="1:13" ht="12.6" thickBot="1" x14ac:dyDescent="0.45">
      <c r="A23" s="50"/>
      <c r="B23" s="50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</row>
    <row r="24" spans="1:13" ht="12.6" thickBot="1" x14ac:dyDescent="0.45">
      <c r="A24" s="50"/>
      <c r="B24" s="50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</row>
    <row r="25" spans="1:13" ht="12.6" thickBot="1" x14ac:dyDescent="0.45">
      <c r="A25" s="50"/>
      <c r="B25" s="50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6" spans="1:13" ht="12.6" thickBot="1" x14ac:dyDescent="0.45">
      <c r="A26" s="50"/>
      <c r="B26" s="50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</row>
    <row r="27" spans="1:13" ht="12.6" thickBot="1" x14ac:dyDescent="0.45">
      <c r="A27" s="50"/>
      <c r="B27" s="50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</row>
    <row r="28" spans="1:13" ht="12.6" thickBot="1" x14ac:dyDescent="0.45">
      <c r="A28" s="50"/>
      <c r="B28" s="50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</row>
    <row r="29" spans="1:13" ht="12.6" thickBot="1" x14ac:dyDescent="0.45">
      <c r="A29" s="50"/>
      <c r="B29" s="50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</row>
    <row r="30" spans="1:13" ht="12.6" thickBot="1" x14ac:dyDescent="0.45">
      <c r="A30" s="50"/>
      <c r="B30" s="50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</row>
    <row r="31" spans="1:13" ht="12.6" thickBot="1" x14ac:dyDescent="0.45">
      <c r="A31" s="50"/>
      <c r="B31" s="50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</row>
    <row r="32" spans="1:13" ht="12.6" thickBot="1" x14ac:dyDescent="0.45">
      <c r="A32" s="50"/>
      <c r="B32" s="50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</row>
    <row r="33" spans="1:13" ht="12.6" thickBot="1" x14ac:dyDescent="0.45">
      <c r="A33" s="50"/>
      <c r="B33" s="50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</row>
    <row r="34" spans="1:13" ht="12.6" thickBot="1" x14ac:dyDescent="0.45">
      <c r="A34" s="50"/>
      <c r="B34" s="50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</row>
    <row r="35" spans="1:13" ht="12.6" thickBot="1" x14ac:dyDescent="0.45">
      <c r="A35" s="50"/>
      <c r="B35" s="50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</row>
    <row r="36" spans="1:13" ht="12.6" thickBot="1" x14ac:dyDescent="0.45">
      <c r="A36" s="50"/>
      <c r="B36" s="50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</row>
    <row r="37" spans="1:13" ht="12.6" thickBot="1" x14ac:dyDescent="0.45">
      <c r="A37" s="50"/>
      <c r="B37" s="50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</row>
    <row r="38" spans="1:13" ht="12.6" thickBot="1" x14ac:dyDescent="0.45">
      <c r="A38" s="50"/>
      <c r="B38" s="50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</row>
    <row r="39" spans="1:13" ht="12.6" thickBot="1" x14ac:dyDescent="0.45">
      <c r="A39" s="50"/>
      <c r="B39" s="50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</row>
    <row r="40" spans="1:13" ht="12.6" thickBot="1" x14ac:dyDescent="0.45">
      <c r="A40" s="50"/>
      <c r="B40" s="50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</row>
    <row r="41" spans="1:13" ht="12.6" thickBot="1" x14ac:dyDescent="0.45">
      <c r="A41" s="50"/>
      <c r="B41" s="50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</row>
    <row r="42" spans="1:13" ht="12.6" thickBot="1" x14ac:dyDescent="0.45">
      <c r="A42" s="50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</row>
    <row r="43" spans="1:13" ht="12.6" thickBot="1" x14ac:dyDescent="0.4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F05418284461459A50C5CDF63A164A" ma:contentTypeVersion="2" ma:contentTypeDescription="Create a new document." ma:contentTypeScope="" ma:versionID="c78cb23de94aaedb6171842e55c8d78f">
  <xsd:schema xmlns:xsd="http://www.w3.org/2001/XMLSchema" xmlns:xs="http://www.w3.org/2001/XMLSchema" xmlns:p="http://schemas.microsoft.com/office/2006/metadata/properties" xmlns:ns2="7cddf2fa-0ff3-42ea-83e6-093183a370a8" targetNamespace="http://schemas.microsoft.com/office/2006/metadata/properties" ma:root="true" ma:fieldsID="6f7c7210c1f65fd13606afb61de1e12c" ns2:_="">
    <xsd:import namespace="7cddf2fa-0ff3-42ea-83e6-093183a370a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ddf2fa-0ff3-42ea-83e6-093183a370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025DDA-4CF2-401C-A01D-6E088F45E8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F46729-2B7B-408E-BF22-087B0CF9E3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ddf2fa-0ff3-42ea-83e6-093183a370a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Activities</vt:lpstr>
      <vt:lpstr>Camper Activity Choices</vt:lpstr>
      <vt:lpstr>1st Activity</vt:lpstr>
      <vt:lpstr>2nd Activity</vt:lpstr>
      <vt:lpstr>3rd activity</vt:lpstr>
      <vt:lpstr>4th activity</vt:lpstr>
      <vt:lpstr>Counselor Requests</vt:lpstr>
      <vt:lpstr>ActivityChoices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</dc:creator>
  <cp:lastModifiedBy>Cole Polyak</cp:lastModifiedBy>
  <cp:lastPrinted>2019-06-17T18:15:19Z</cp:lastPrinted>
  <dcterms:created xsi:type="dcterms:W3CDTF">2012-06-15T14:30:49Z</dcterms:created>
  <dcterms:modified xsi:type="dcterms:W3CDTF">2019-08-18T04:12:25Z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0x010100D3F05418284461459A50C5CDF63A164A</vt:lpwstr>
  </property>
</Properties>
</file>